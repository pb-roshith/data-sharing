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lassification" sheetId="1" r:id="rId5"/>
    <sheet state="visible" name="Summary" sheetId="2" r:id="rId6"/>
    <sheet state="visible" name="Vulnerability" sheetId="3" r:id="rId7"/>
  </sheets>
  <definedNames/>
  <calcPr/>
</workbook>
</file>

<file path=xl/sharedStrings.xml><?xml version="1.0" encoding="utf-8"?>
<sst xmlns="http://schemas.openxmlformats.org/spreadsheetml/2006/main" count="999" uniqueCount="181">
  <si>
    <t>TCS Confidential</t>
  </si>
  <si>
    <t>Category</t>
  </si>
  <si>
    <t>Number of Files</t>
  </si>
  <si>
    <t xml:space="preserve">181
</t>
  </si>
  <si>
    <t>Priority</t>
  </si>
  <si>
    <t>Kingdom</t>
  </si>
  <si>
    <t>Abstract</t>
  </si>
  <si>
    <t>Source File Path</t>
  </si>
  <si>
    <t>Lines of Code</t>
  </si>
  <si>
    <t>Source Line No</t>
  </si>
  <si>
    <t xml:space="preserve">0
</t>
  </si>
  <si>
    <t>Sink File Path</t>
  </si>
  <si>
    <t>Sink Line No</t>
  </si>
  <si>
    <t>Status</t>
  </si>
  <si>
    <t>Scan time</t>
  </si>
  <si>
    <t>Auditor Comment</t>
  </si>
  <si>
    <t>04 mins 01 seconds</t>
  </si>
  <si>
    <t>Developer Comment</t>
  </si>
  <si>
    <t>Tools and Version</t>
  </si>
  <si>
    <t xml:space="preserve">Fortify SCA 26.2.0.0071
</t>
  </si>
  <si>
    <t>Password Management: Hardcoded Password</t>
  </si>
  <si>
    <t>Critical</t>
  </si>
  <si>
    <t>Security Features</t>
  </si>
  <si>
    <t>SAST Summary</t>
  </si>
  <si>
    <t>Hardcoded passwords can compromise system security in a way that is difficult to remedy.</t>
  </si>
  <si>
    <t/>
  </si>
  <si>
    <t>backend/.env.example</t>
  </si>
  <si>
    <t>15</t>
  </si>
  <si>
    <t>Open</t>
  </si>
  <si>
    <t>false positive: placeholder in the tracked .env.example file; real credentials are supplied securely at runtime.</t>
  </si>
  <si>
    <t>Privacy Violation</t>
  </si>
  <si>
    <t>The file PasswordPolicyChecklist.tsx mishandles confidential information on line 67, which can compromise user privacy and is often illegal.</t>
  </si>
  <si>
    <t>frontend/src/components/PasswordPolicyChecklist.tsx</t>
  </si>
  <si>
    <t>55</t>
  </si>
  <si>
    <t>67</t>
  </si>
  <si>
    <t>Password data is processed transiently in browser memory for local policy validation only; it is never displayed, logged, stored, or transmitted</t>
  </si>
  <si>
    <t>High</t>
  </si>
  <si>
    <t>The file login.tsx mishandles confidential information on line 172, which can compromise user privacy and is often illegal.</t>
  </si>
  <si>
    <t>Medium</t>
  </si>
  <si>
    <t>frontend/src/routes/login.tsx</t>
  </si>
  <si>
    <t>21</t>
  </si>
  <si>
    <t>Low</t>
  </si>
  <si>
    <t>172</t>
  </si>
  <si>
    <t>Grand Total</t>
  </si>
  <si>
    <t>Password is held transiently in React state for authentication and local policy validation. It is never rendered, logged, persisted, or transmitted except through the intended secure authentication request.</t>
  </si>
  <si>
    <t>Closed</t>
  </si>
  <si>
    <t>242</t>
  </si>
  <si>
    <t>This is a false positive. Line 242 passes the password to PasswordPolicyChecklist for local validation, and line 172 is the password input field. The password is not logged, stored, or displayed.</t>
  </si>
  <si>
    <t>273</t>
  </si>
  <si>
    <t>False positive: line 273 passes the password only to PasswordPolicyChecklist for local validation; it is never logged, persisted, displayed, or transmitted outside the intended authentication request.</t>
  </si>
  <si>
    <t>The file profile.tsx mishandles confidential information on line 134, which can compromise user privacy and is often illegal.</t>
  </si>
  <si>
    <t>frontend/src/routes/profile.tsx</t>
  </si>
  <si>
    <t>163</t>
  </si>
  <si>
    <t>134</t>
  </si>
  <si>
    <t>false positive: password is transient React state used only for secure password change and local policy validation.</t>
  </si>
  <si>
    <t>212</t>
  </si>
  <si>
    <t>false positive: current password is transient React state used only for secure verification.</t>
  </si>
  <si>
    <t>The file profile.tsx mishandles confidential information on line 249, which can compromise user privacy and is often illegal.</t>
  </si>
  <si>
    <t>255</t>
  </si>
  <si>
    <t>249</t>
  </si>
  <si>
    <t>False positive: line 255 binds the current password to a masked password input for secure verification</t>
  </si>
  <si>
    <t>False positive: line 255 passes the current password from transient React state to the masked input; it is used only for security-question verification</t>
  </si>
  <si>
    <t>274</t>
  </si>
  <si>
    <t>false positive: maxLength is only a validation constraint; no password data is exposed.</t>
  </si>
  <si>
    <t>251</t>
  </si>
  <si>
    <t>False positive: line 251 displays only a generic password-length hint and never exposes the password or other confidential information.</t>
  </si>
  <si>
    <t>347</t>
  </si>
  <si>
    <t>false positive: policy checklist performs local password validation only and renders non-sensitive status text.</t>
  </si>
  <si>
    <t>The file login.tsx mishandles confidential information on line 193, which can compromise user privacy and is often illegal.</t>
  </si>
  <si>
    <t>230</t>
  </si>
  <si>
    <t>193</t>
  </si>
  <si>
    <t>false positive: password input is masked and used only for intended authentication.</t>
  </si>
  <si>
    <t>The file profile.tsx mishandles confidential information on line 167, which can compromise user privacy and is often illegal.</t>
  </si>
  <si>
    <t>164</t>
  </si>
  <si>
    <t>167</t>
  </si>
  <si>
    <t>false positive: password is transient form state used only for secure password change.</t>
  </si>
  <si>
    <t>False positive: line 164 stores the new password in transient React state, and line 167 only renders its masked input label/container; no confidential value is exposed.</t>
  </si>
  <si>
    <t>349</t>
  </si>
  <si>
    <t>False positive: line 349 passes the password only to PasswordPolicyChecklist for local policy validation</t>
  </si>
  <si>
    <t>False positive: line 273 only configures the minimum length for the masked confirmation-password input</t>
  </si>
  <si>
    <t>350</t>
  </si>
  <si>
    <t>false positive: only non-sensitive password-policy metadata is passed here.</t>
  </si>
  <si>
    <t>maxLength is only a password validation constraint.</t>
  </si>
  <si>
    <t>The file login.tsx mishandles confidential information on line 267, which can compromise user privacy and is often illegal.</t>
  </si>
  <si>
    <t>267</t>
  </si>
  <si>
    <t>Not An Issue</t>
  </si>
  <si>
    <t>maxLength only limits password input length.</t>
  </si>
  <si>
    <t>239</t>
  </si>
  <si>
    <t>false positive: maxLength is a non-sensitive password validation constraint.</t>
  </si>
  <si>
    <t>266</t>
  </si>
  <si>
    <t>false positive: conditional rendering exposes no confidential password data.</t>
  </si>
  <si>
    <t>276</t>
  </si>
  <si>
    <t>false positive: confirmation password is transient and rendered only as type=password.</t>
  </si>
  <si>
    <t>165</t>
  </si>
  <si>
    <t>29</t>
  </si>
  <si>
    <t>false positive: securityPassword is initialized empty and populated only from masked user input.</t>
  </si>
  <si>
    <t>237</t>
  </si>
  <si>
    <t>minLength only validates password length.</t>
  </si>
  <si>
    <t>348</t>
  </si>
  <si>
    <t>false positive: conditional rendering performs no confidential-data disclosure.</t>
  </si>
  <si>
    <t>false positive: password is used transiently for client-side policy validation only.</t>
  </si>
  <si>
    <t>The file login.tsx mishandles confidential information on line 231, which can compromise user privacy and is often illegal.</t>
  </si>
  <si>
    <t>231</t>
  </si>
  <si>
    <t>false positive: maxLength is only a password validation constraint.</t>
  </si>
  <si>
    <t>false positive: confirmation password is transient state used only for secure password change.</t>
  </si>
  <si>
    <t>false positive: placeholder contains no confidential information.</t>
  </si>
  <si>
    <t>213</t>
  </si>
  <si>
    <t>false positive: password is used transiently for local policy validation only.</t>
  </si>
  <si>
    <t>false positive: minLength is only a password validation constraint.</t>
  </si>
  <si>
    <t>false positive: minLength only validates password length.</t>
  </si>
  <si>
    <t>211</t>
  </si>
  <si>
    <t>false positive: conditional rendering does not expose confidential data.</t>
  </si>
  <si>
    <t>174</t>
  </si>
  <si>
    <t>false positive: password is transiently bound to a type=password input.</t>
  </si>
  <si>
    <t>179</t>
  </si>
  <si>
    <t>false positive: input handler updates transient password state only.</t>
  </si>
  <si>
    <t>false positive: password is transiently bound to a masked input for authentication.</t>
  </si>
  <si>
    <t>false positive: only non-sensitive password-policy configuration is passed here.</t>
  </si>
  <si>
    <t>false positive: maxLength is only a non-sensitive password validation constraint.</t>
  </si>
  <si>
    <t>false positive: conditional rendering only displays the local password-policy checklist.</t>
  </si>
  <si>
    <t>false positive: password value is transiently bound to a masked input for authentication.</t>
  </si>
  <si>
    <t>false positive: conditional rendering only displays the password input; no data is exposed.</t>
  </si>
  <si>
    <t>false positive: confirmation password is transiently bound to a masked input.</t>
  </si>
  <si>
    <t>false positive: placeholder contains only a generic password-policy hint.</t>
  </si>
  <si>
    <t>false positive: password is transient React state used only for secure password verification.</t>
  </si>
  <si>
    <t>Hardcoded passwords could compromise system security in a way that is not easy to remedy.</t>
  </si>
  <si>
    <t>backend/tests/test_auth_recovery.py</t>
  </si>
  <si>
    <t>153</t>
  </si>
  <si>
    <t>these are test files , created only for testing. removed from actual application.</t>
  </si>
  <si>
    <t>479</t>
  </si>
  <si>
    <t>303</t>
  </si>
  <si>
    <t>backend/tests/test_security_controls.py</t>
  </si>
  <si>
    <t>50</t>
  </si>
  <si>
    <t>248</t>
  </si>
  <si>
    <t>485</t>
  </si>
  <si>
    <t>161</t>
  </si>
  <si>
    <t>76</t>
  </si>
  <si>
    <t>152</t>
  </si>
  <si>
    <t>48</t>
  </si>
  <si>
    <t>125</t>
  </si>
  <si>
    <t>314</t>
  </si>
  <si>
    <t>129</t>
  </si>
  <si>
    <t>162</t>
  </si>
  <si>
    <t>261</t>
  </si>
  <si>
    <t>199</t>
  </si>
  <si>
    <t>461</t>
  </si>
  <si>
    <t>118</t>
  </si>
  <si>
    <t>139</t>
  </si>
  <si>
    <t>241</t>
  </si>
  <si>
    <t>107</t>
  </si>
  <si>
    <t>223</t>
  </si>
  <si>
    <t>mcp/docker-compose.yml</t>
  </si>
  <si>
    <t>7</t>
  </si>
  <si>
    <t>we removed the docker compose file.</t>
  </si>
  <si>
    <t>System Information Leak: External</t>
  </si>
  <si>
    <t>Encapsulation</t>
  </si>
  <si>
    <t>Revealing system data or debugging information could enable an adversary to use system information to plan an attack.</t>
  </si>
  <si>
    <t>frontend/src/routes/deals.$dealId.tsx</t>
  </si>
  <si>
    <t>73</t>
  </si>
  <si>
    <t>95</t>
  </si>
  <si>
    <t>it is fixed. expose only a generic message; never reveal backend error details to users.</t>
  </si>
  <si>
    <t>2942</t>
  </si>
  <si>
    <t>46</t>
  </si>
  <si>
    <t>53</t>
  </si>
  <si>
    <t>1209</t>
  </si>
  <si>
    <t>3415</t>
  </si>
  <si>
    <t>frontend/src/routes/index.tsx</t>
  </si>
  <si>
    <t>85</t>
  </si>
  <si>
    <t>2743</t>
  </si>
  <si>
    <t>Cross-Site Request Forgery</t>
  </si>
  <si>
    <t>The HTTP request at deals.$dealId.tsx line 2914 must contain a user-specific secret to prevent an attacker from making unauthorized requests.</t>
  </si>
  <si>
    <t>2914</t>
  </si>
  <si>
    <t>fixed. CSRF mitigation: same-origin credentials are sent; backend validates the request origin.</t>
  </si>
  <si>
    <t>The HTTP request at deals.$dealId.tsx line 2879 must contain a user-specific secret to prevent an attacker from making unauthorized requests.</t>
  </si>
  <si>
    <t>2879</t>
  </si>
  <si>
    <t>PII: Personally Identifiable Information (Email ID)</t>
  </si>
  <si>
    <t>Environment</t>
  </si>
  <si>
    <t>Personally Identifiable Information (PII) refers to any data that can be used to identify an individual, either directly or indirectly. This includes names, social security numbers, email addresses, phone numbers, and other data that can uniquely distinguish a person. The protection of PII is critical in today’s digital landscape, where data breaches and unauthorized access can lead to significant privacy violations and identity theft.</t>
  </si>
  <si>
    <t>34</t>
  </si>
  <si>
    <t>this is used for testing purpose. now it is removed.</t>
  </si>
  <si>
    <t>30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</si>
</sst>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sz val="10.0"/>
      <color theme="1"/>
      <name val="Arial"/>
    </font>
    <font>
      <b/>
      <sz val="12.0"/>
      <color theme="1"/>
      <name val="Arial"/>
    </font>
    <font/>
    <font>
      <color theme="1"/>
      <name val="Arial"/>
      <scheme val="minor"/>
    </font>
  </fonts>
  <fills count="3">
    <fill>
      <patternFill patternType="none"/>
    </fill>
    <fill>
      <patternFill patternType="lightGray"/>
    </fill>
    <fill>
      <patternFill patternType="solid">
        <fgColor rgb="FF00CCFF"/>
        <bgColor rgb="FF00CCFF"/>
      </patternFill>
    </fill>
  </fills>
  <borders count="9">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left"/>
    </xf>
    <xf borderId="2" fillId="2" fontId="1" numFmtId="0" xfId="0" applyAlignment="1" applyBorder="1" applyFill="1" applyFont="1">
      <alignment horizontal="center" shrinkToFit="0" wrapText="1"/>
    </xf>
    <xf borderId="1" fillId="0" fontId="2" numFmtId="0" xfId="0" applyAlignment="1" applyBorder="1" applyFont="1">
      <alignment horizontal="left"/>
    </xf>
    <xf borderId="3" fillId="0" fontId="3" numFmtId="0" xfId="0" applyAlignment="1" applyBorder="1" applyFont="1">
      <alignment horizontal="center" vertical="center"/>
    </xf>
    <xf borderId="0" fillId="0" fontId="2" numFmtId="0" xfId="0" applyAlignment="1" applyFont="1">
      <alignment shrinkToFit="0" vertical="top" wrapText="1"/>
    </xf>
    <xf borderId="4" fillId="0" fontId="4" numFmtId="0" xfId="0" applyBorder="1" applyFont="1"/>
    <xf borderId="5" fillId="0" fontId="4" numFmtId="0" xfId="0" applyBorder="1" applyFont="1"/>
    <xf borderId="6" fillId="2" fontId="1" numFmtId="0" xfId="0" applyAlignment="1" applyBorder="1" applyFill="1" applyFont="1">
      <alignment horizontal="center" shrinkToFit="0" wrapText="1"/>
    </xf>
    <xf borderId="0" fillId="0" fontId="5" numFmtId="0" xfId="0" applyAlignment="1" applyFont="1">
      <alignment readingOrder="0"/>
    </xf>
    <xf borderId="7" fillId="0" fontId="4" numFmtId="0" xfId="0" applyBorder="1" applyFont="1"/>
    <xf borderId="8"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5.63"/>
    <col customWidth="1" min="7" max="26" width="8.63"/>
  </cols>
  <sheetData>
    <row r="1" ht="12.75" customHeight="1"/>
    <row r="2" ht="12.75" customHeight="1"/>
    <row r="3" ht="12.75" customHeight="1"/>
    <row r="4" ht="19.5" customHeight="1">
      <c r="B4" s="4" t="s">
        <v>0</v>
      </c>
      <c r="C4" s="6"/>
      <c r="D4" s="6"/>
      <c r="E4" s="7"/>
    </row>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4:E4"/>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63"/>
    <col customWidth="1" min="2" max="6" width="11.75"/>
    <col customWidth="1" min="7" max="26" width="8.63"/>
  </cols>
  <sheetData>
    <row r="1" ht="12.75" customHeight="1">
      <c r="A1" s="1" t="s">
        <v>2</v>
      </c>
      <c r="B1" s="3" t="s">
        <v>3</v>
      </c>
    </row>
    <row r="2" ht="12.75" customHeight="1">
      <c r="A2" s="1" t="s">
        <v>8</v>
      </c>
      <c r="B2" s="3" t="s">
        <v>10</v>
      </c>
    </row>
    <row r="3" ht="12.75" customHeight="1">
      <c r="A3" s="1" t="s">
        <v>14</v>
      </c>
      <c r="B3" s="3" t="s">
        <v>16</v>
      </c>
    </row>
    <row r="4" ht="12.75" customHeight="1">
      <c r="A4" s="1" t="s">
        <v>18</v>
      </c>
      <c r="B4" s="3" t="s">
        <v>19</v>
      </c>
    </row>
    <row r="5" ht="12.75" customHeight="1"/>
    <row r="6" ht="12.75" customHeight="1">
      <c r="A6" s="8" t="s">
        <v>23</v>
      </c>
      <c r="B6" s="10"/>
      <c r="C6" s="10"/>
      <c r="D6" s="10"/>
      <c r="E6" s="10"/>
      <c r="F6" s="11"/>
    </row>
    <row r="7" ht="12.75" customHeight="1">
      <c r="A7" s="1" t="s">
        <v>13</v>
      </c>
      <c r="B7" s="1" t="s">
        <v>21</v>
      </c>
      <c r="C7" s="1" t="s">
        <v>36</v>
      </c>
      <c r="D7" s="1" t="s">
        <v>38</v>
      </c>
      <c r="E7" s="1" t="s">
        <v>41</v>
      </c>
      <c r="F7" s="1" t="s">
        <v>43</v>
      </c>
    </row>
    <row r="8" ht="12.75" customHeight="1">
      <c r="A8" s="1" t="s">
        <v>45</v>
      </c>
      <c r="B8" s="3">
        <f>SUMPRODUCT((Vulnerability!$B2:$B89="Critical")*(Vulnerability!$I2:$I89="Closed"))</f>
        <v>0</v>
      </c>
      <c r="C8" s="3">
        <f>SUMPRODUCT((Vulnerability!$B2:$B89="High")*(Vulnerability!$I2:$I89="Closed"))</f>
        <v>0</v>
      </c>
      <c r="D8" s="3">
        <f>SUMPRODUCT((Vulnerability!$B2:$B89="Medium")*(Vulnerability!$I2:$I89="Closed"))</f>
        <v>0</v>
      </c>
      <c r="E8" s="3">
        <f>SUMPRODUCT((Vulnerability!$B2:$B89="Low")*(Vulnerability!$I2:$I89="Closed"))</f>
        <v>0</v>
      </c>
      <c r="F8" s="3">
        <f t="shared" ref="F8:F10" si="1">SUM($B8:$E8)</f>
        <v>0</v>
      </c>
    </row>
    <row r="9" ht="12.75" customHeight="1">
      <c r="A9" s="1" t="s">
        <v>85</v>
      </c>
      <c r="B9" s="3">
        <f>SUMPRODUCT((Vulnerability!$B2:$B89="Critical")*(Vulnerability!$I2:$I89="Not An Issue"))</f>
        <v>0</v>
      </c>
      <c r="C9" s="3">
        <f>SUMPRODUCT((Vulnerability!$B2:$B89="High")*(Vulnerability!$I2:$I89="Not An Issue"))</f>
        <v>0</v>
      </c>
      <c r="D9" s="3">
        <f>SUMPRODUCT((Vulnerability!$B2:$B89="Medium")*(Vulnerability!$I2:$I89="Not An Issue"))</f>
        <v>0</v>
      </c>
      <c r="E9" s="3">
        <f>SUMPRODUCT((Vulnerability!$B2:$B89="Low")*(Vulnerability!$I2:$I89="Not An Issue"))</f>
        <v>0</v>
      </c>
      <c r="F9" s="3">
        <f t="shared" si="1"/>
        <v>0</v>
      </c>
    </row>
    <row r="10" ht="12.75" customHeight="1">
      <c r="A10" s="1" t="s">
        <v>28</v>
      </c>
      <c r="B10" s="3">
        <f>SUMPRODUCT((Vulnerability!$B2:$B89="Critical")*(Vulnerability!$I2:$I89="Open"))</f>
        <v>52</v>
      </c>
      <c r="C10" s="3">
        <f>SUMPRODUCT((Vulnerability!$B2:$B89="High")*(Vulnerability!$I2:$I89="Open"))</f>
        <v>23</v>
      </c>
      <c r="D10" s="3">
        <f>SUMPRODUCT((Vulnerability!$B2:$B89="Medium")*(Vulnerability!$I2:$I89="Open"))</f>
        <v>9</v>
      </c>
      <c r="E10" s="3">
        <f>SUMPRODUCT((Vulnerability!$B2:$B89="Low")*(Vulnerability!$I2:$I89="Open"))</f>
        <v>4</v>
      </c>
      <c r="F10" s="3">
        <f t="shared" si="1"/>
        <v>88</v>
      </c>
    </row>
    <row r="11" ht="12.75" customHeight="1">
      <c r="A11" s="1" t="s">
        <v>43</v>
      </c>
      <c r="B11" s="3">
        <f>SUM($B8:$B10)</f>
        <v>52</v>
      </c>
      <c r="C11" s="3">
        <f>SUM($C8:$C10)</f>
        <v>23</v>
      </c>
      <c r="D11" s="3">
        <f>SUM($D8:$D10)</f>
        <v>9</v>
      </c>
      <c r="E11" s="3">
        <f>SUM($E8:$E10)</f>
        <v>4</v>
      </c>
      <c r="F11" s="3">
        <f>SUM($F8:$F10)</f>
        <v>88</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6:F6"/>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25"/>
    <col customWidth="1" min="2" max="2" width="11.75"/>
    <col customWidth="1" min="3" max="3" width="19.63"/>
    <col customWidth="1" min="4" max="5" width="39.0"/>
    <col customWidth="1" min="6" max="6" width="19.63"/>
    <col customWidth="1" min="7" max="7" width="39.0"/>
    <col customWidth="1" min="8" max="8" width="19.63"/>
    <col customWidth="1" min="9" max="11" width="39.0"/>
    <col customWidth="1" min="12" max="26" width="8.63"/>
  </cols>
  <sheetData>
    <row r="1" ht="12.75" customHeight="1">
      <c r="A1" s="2" t="s">
        <v>1</v>
      </c>
      <c r="B1" s="2" t="s">
        <v>4</v>
      </c>
      <c r="C1" s="2" t="s">
        <v>5</v>
      </c>
      <c r="D1" s="2" t="s">
        <v>6</v>
      </c>
      <c r="E1" s="2" t="s">
        <v>7</v>
      </c>
      <c r="F1" s="2" t="s">
        <v>9</v>
      </c>
      <c r="G1" s="2" t="s">
        <v>11</v>
      </c>
      <c r="H1" s="2" t="s">
        <v>12</v>
      </c>
      <c r="I1" s="2" t="s">
        <v>13</v>
      </c>
      <c r="J1" s="2" t="s">
        <v>15</v>
      </c>
      <c r="K1" s="2" t="s">
        <v>17</v>
      </c>
    </row>
    <row r="2" ht="12.75" customHeight="1">
      <c r="A2" s="5" t="s">
        <v>20</v>
      </c>
      <c r="B2" s="5" t="s">
        <v>21</v>
      </c>
      <c r="C2" s="5" t="s">
        <v>22</v>
      </c>
      <c r="D2" s="5" t="s">
        <v>24</v>
      </c>
      <c r="E2" s="5" t="s">
        <v>25</v>
      </c>
      <c r="F2" s="5" t="s">
        <v>25</v>
      </c>
      <c r="G2" s="5" t="s">
        <v>26</v>
      </c>
      <c r="H2" s="5" t="s">
        <v>27</v>
      </c>
      <c r="I2" s="5" t="s">
        <v>28</v>
      </c>
      <c r="J2" s="5" t="s">
        <v>25</v>
      </c>
      <c r="K2" s="9" t="s">
        <v>29</v>
      </c>
    </row>
    <row r="3" ht="12.75" customHeight="1">
      <c r="A3" s="5" t="s">
        <v>30</v>
      </c>
      <c r="B3" s="5" t="s">
        <v>21</v>
      </c>
      <c r="C3" s="5" t="s">
        <v>22</v>
      </c>
      <c r="D3" s="5" t="s">
        <v>31</v>
      </c>
      <c r="E3" s="5" t="s">
        <v>32</v>
      </c>
      <c r="F3" s="5" t="s">
        <v>33</v>
      </c>
      <c r="G3" s="5" t="s">
        <v>32</v>
      </c>
      <c r="H3" s="5" t="s">
        <v>34</v>
      </c>
      <c r="I3" s="5" t="s">
        <v>28</v>
      </c>
      <c r="J3" s="5" t="s">
        <v>25</v>
      </c>
      <c r="K3" s="9" t="s">
        <v>35</v>
      </c>
    </row>
    <row r="4" ht="12.75" customHeight="1">
      <c r="A4" s="5" t="s">
        <v>30</v>
      </c>
      <c r="B4" s="5" t="s">
        <v>21</v>
      </c>
      <c r="C4" s="5" t="s">
        <v>22</v>
      </c>
      <c r="D4" s="5" t="s">
        <v>37</v>
      </c>
      <c r="E4" s="5" t="s">
        <v>39</v>
      </c>
      <c r="F4" s="5" t="s">
        <v>40</v>
      </c>
      <c r="G4" s="5" t="s">
        <v>39</v>
      </c>
      <c r="H4" s="5" t="s">
        <v>42</v>
      </c>
      <c r="I4" s="5" t="s">
        <v>28</v>
      </c>
      <c r="J4" s="5" t="s">
        <v>25</v>
      </c>
      <c r="K4" s="9" t="s">
        <v>44</v>
      </c>
    </row>
    <row r="5" ht="12.75" customHeight="1">
      <c r="A5" s="5" t="s">
        <v>30</v>
      </c>
      <c r="B5" s="5" t="s">
        <v>21</v>
      </c>
      <c r="C5" s="5" t="s">
        <v>22</v>
      </c>
      <c r="D5" s="5" t="s">
        <v>37</v>
      </c>
      <c r="E5" s="5" t="s">
        <v>39</v>
      </c>
      <c r="F5" s="5" t="s">
        <v>46</v>
      </c>
      <c r="G5" s="5" t="s">
        <v>39</v>
      </c>
      <c r="H5" s="5" t="s">
        <v>42</v>
      </c>
      <c r="I5" s="5" t="s">
        <v>28</v>
      </c>
      <c r="J5" s="5" t="s">
        <v>25</v>
      </c>
      <c r="K5" s="9" t="s">
        <v>47</v>
      </c>
    </row>
    <row r="6" ht="12.75" customHeight="1">
      <c r="A6" s="5" t="s">
        <v>30</v>
      </c>
      <c r="B6" s="5" t="s">
        <v>21</v>
      </c>
      <c r="C6" s="5" t="s">
        <v>22</v>
      </c>
      <c r="D6" s="5" t="s">
        <v>37</v>
      </c>
      <c r="E6" s="5" t="s">
        <v>39</v>
      </c>
      <c r="F6" s="5" t="s">
        <v>48</v>
      </c>
      <c r="G6" s="5" t="s">
        <v>39</v>
      </c>
      <c r="H6" s="5" t="s">
        <v>42</v>
      </c>
      <c r="I6" s="5" t="s">
        <v>28</v>
      </c>
      <c r="J6" s="5" t="s">
        <v>25</v>
      </c>
      <c r="K6" s="9" t="s">
        <v>49</v>
      </c>
    </row>
    <row r="7" ht="12.75" customHeight="1">
      <c r="A7" s="5" t="s">
        <v>30</v>
      </c>
      <c r="B7" s="5" t="s">
        <v>21</v>
      </c>
      <c r="C7" s="5" t="s">
        <v>22</v>
      </c>
      <c r="D7" s="5" t="s">
        <v>50</v>
      </c>
      <c r="E7" s="5" t="s">
        <v>51</v>
      </c>
      <c r="F7" s="5" t="s">
        <v>52</v>
      </c>
      <c r="G7" s="5" t="s">
        <v>51</v>
      </c>
      <c r="H7" s="5" t="s">
        <v>53</v>
      </c>
      <c r="I7" s="5" t="s">
        <v>28</v>
      </c>
      <c r="J7" s="5" t="s">
        <v>25</v>
      </c>
      <c r="K7" s="9" t="s">
        <v>54</v>
      </c>
    </row>
    <row r="8" ht="12.75" customHeight="1">
      <c r="A8" s="5" t="s">
        <v>30</v>
      </c>
      <c r="B8" s="5" t="s">
        <v>21</v>
      </c>
      <c r="C8" s="5" t="s">
        <v>22</v>
      </c>
      <c r="D8" s="5" t="s">
        <v>50</v>
      </c>
      <c r="E8" s="5" t="s">
        <v>51</v>
      </c>
      <c r="F8" s="5" t="s">
        <v>55</v>
      </c>
      <c r="G8" s="5" t="s">
        <v>51</v>
      </c>
      <c r="H8" s="5" t="s">
        <v>53</v>
      </c>
      <c r="I8" s="5" t="s">
        <v>28</v>
      </c>
      <c r="J8" s="5" t="s">
        <v>25</v>
      </c>
      <c r="K8" s="9" t="s">
        <v>56</v>
      </c>
    </row>
    <row r="9" ht="12.75" customHeight="1">
      <c r="A9" s="5" t="s">
        <v>30</v>
      </c>
      <c r="B9" s="5" t="s">
        <v>21</v>
      </c>
      <c r="C9" s="5" t="s">
        <v>22</v>
      </c>
      <c r="D9" s="5" t="s">
        <v>57</v>
      </c>
      <c r="E9" s="5" t="s">
        <v>51</v>
      </c>
      <c r="F9" s="5" t="s">
        <v>58</v>
      </c>
      <c r="G9" s="5" t="s">
        <v>51</v>
      </c>
      <c r="H9" s="5" t="s">
        <v>59</v>
      </c>
      <c r="I9" s="5" t="s">
        <v>28</v>
      </c>
      <c r="J9" s="5" t="s">
        <v>25</v>
      </c>
      <c r="K9" s="9" t="s">
        <v>60</v>
      </c>
    </row>
    <row r="10" ht="12.75" customHeight="1">
      <c r="A10" s="5" t="s">
        <v>30</v>
      </c>
      <c r="B10" s="5" t="s">
        <v>21</v>
      </c>
      <c r="C10" s="5" t="s">
        <v>22</v>
      </c>
      <c r="D10" s="5" t="s">
        <v>50</v>
      </c>
      <c r="E10" s="5" t="s">
        <v>51</v>
      </c>
      <c r="F10" s="5" t="s">
        <v>58</v>
      </c>
      <c r="G10" s="5" t="s">
        <v>51</v>
      </c>
      <c r="H10" s="5" t="s">
        <v>53</v>
      </c>
      <c r="I10" s="5" t="s">
        <v>28</v>
      </c>
      <c r="J10" s="5" t="s">
        <v>25</v>
      </c>
      <c r="K10" s="9" t="s">
        <v>61</v>
      </c>
    </row>
    <row r="11" ht="12.75" customHeight="1">
      <c r="A11" s="5" t="s">
        <v>30</v>
      </c>
      <c r="B11" s="5" t="s">
        <v>21</v>
      </c>
      <c r="C11" s="5" t="s">
        <v>22</v>
      </c>
      <c r="D11" s="5" t="s">
        <v>37</v>
      </c>
      <c r="E11" s="5" t="s">
        <v>39</v>
      </c>
      <c r="F11" s="5" t="s">
        <v>62</v>
      </c>
      <c r="G11" s="5" t="s">
        <v>39</v>
      </c>
      <c r="H11" s="5" t="s">
        <v>42</v>
      </c>
      <c r="I11" s="5" t="s">
        <v>28</v>
      </c>
      <c r="J11" s="5" t="s">
        <v>25</v>
      </c>
      <c r="K11" s="9" t="s">
        <v>63</v>
      </c>
    </row>
    <row r="12" ht="12.75" customHeight="1">
      <c r="A12" s="5" t="s">
        <v>30</v>
      </c>
      <c r="B12" s="5" t="s">
        <v>21</v>
      </c>
      <c r="C12" s="5" t="s">
        <v>22</v>
      </c>
      <c r="D12" s="5" t="s">
        <v>37</v>
      </c>
      <c r="E12" s="5" t="s">
        <v>39</v>
      </c>
      <c r="F12" s="5" t="s">
        <v>64</v>
      </c>
      <c r="G12" s="5" t="s">
        <v>39</v>
      </c>
      <c r="H12" s="5" t="s">
        <v>42</v>
      </c>
      <c r="I12" s="5" t="s">
        <v>28</v>
      </c>
      <c r="J12" s="5" t="s">
        <v>25</v>
      </c>
      <c r="K12" s="9" t="s">
        <v>65</v>
      </c>
    </row>
    <row r="13" ht="12.75" customHeight="1">
      <c r="A13" s="5" t="s">
        <v>30</v>
      </c>
      <c r="B13" s="5" t="s">
        <v>21</v>
      </c>
      <c r="C13" s="5" t="s">
        <v>22</v>
      </c>
      <c r="D13" s="5" t="s">
        <v>37</v>
      </c>
      <c r="E13" s="5" t="s">
        <v>39</v>
      </c>
      <c r="F13" s="5" t="s">
        <v>66</v>
      </c>
      <c r="G13" s="5" t="s">
        <v>39</v>
      </c>
      <c r="H13" s="5" t="s">
        <v>42</v>
      </c>
      <c r="I13" s="5" t="s">
        <v>28</v>
      </c>
      <c r="J13" s="5" t="s">
        <v>25</v>
      </c>
      <c r="K13" s="9" t="s">
        <v>67</v>
      </c>
    </row>
    <row r="14" ht="12.75" customHeight="1">
      <c r="A14" s="5" t="s">
        <v>30</v>
      </c>
      <c r="B14" s="5" t="s">
        <v>21</v>
      </c>
      <c r="C14" s="5" t="s">
        <v>22</v>
      </c>
      <c r="D14" s="5" t="s">
        <v>68</v>
      </c>
      <c r="E14" s="5" t="s">
        <v>39</v>
      </c>
      <c r="F14" s="5" t="s">
        <v>69</v>
      </c>
      <c r="G14" s="5" t="s">
        <v>39</v>
      </c>
      <c r="H14" s="5" t="s">
        <v>70</v>
      </c>
      <c r="I14" s="5" t="s">
        <v>28</v>
      </c>
      <c r="J14" s="5" t="s">
        <v>25</v>
      </c>
      <c r="K14" s="9" t="s">
        <v>71</v>
      </c>
    </row>
    <row r="15" ht="12.75" customHeight="1">
      <c r="A15" s="5" t="s">
        <v>30</v>
      </c>
      <c r="B15" s="5" t="s">
        <v>21</v>
      </c>
      <c r="C15" s="5" t="s">
        <v>22</v>
      </c>
      <c r="D15" s="5" t="s">
        <v>72</v>
      </c>
      <c r="E15" s="5" t="s">
        <v>51</v>
      </c>
      <c r="F15" s="5" t="s">
        <v>73</v>
      </c>
      <c r="G15" s="5" t="s">
        <v>51</v>
      </c>
      <c r="H15" s="5" t="s">
        <v>74</v>
      </c>
      <c r="I15" s="5" t="s">
        <v>28</v>
      </c>
      <c r="J15" s="5" t="s">
        <v>25</v>
      </c>
      <c r="K15" s="9" t="s">
        <v>75</v>
      </c>
    </row>
    <row r="16" ht="12.75" customHeight="1">
      <c r="A16" s="5" t="s">
        <v>30</v>
      </c>
      <c r="B16" s="5" t="s">
        <v>21</v>
      </c>
      <c r="C16" s="5" t="s">
        <v>22</v>
      </c>
      <c r="D16" s="5" t="s">
        <v>72</v>
      </c>
      <c r="E16" s="5" t="s">
        <v>51</v>
      </c>
      <c r="F16" s="5" t="s">
        <v>73</v>
      </c>
      <c r="G16" s="5" t="s">
        <v>51</v>
      </c>
      <c r="H16" s="5" t="s">
        <v>74</v>
      </c>
      <c r="I16" s="5" t="s">
        <v>28</v>
      </c>
      <c r="J16" s="5" t="s">
        <v>25</v>
      </c>
      <c r="K16" s="9" t="s">
        <v>76</v>
      </c>
    </row>
    <row r="17" ht="12.75" customHeight="1">
      <c r="A17" s="5" t="s">
        <v>30</v>
      </c>
      <c r="B17" s="5" t="s">
        <v>21</v>
      </c>
      <c r="C17" s="5" t="s">
        <v>22</v>
      </c>
      <c r="D17" s="5" t="s">
        <v>68</v>
      </c>
      <c r="E17" s="5" t="s">
        <v>39</v>
      </c>
      <c r="F17" s="5" t="s">
        <v>77</v>
      </c>
      <c r="G17" s="5" t="s">
        <v>39</v>
      </c>
      <c r="H17" s="5" t="s">
        <v>70</v>
      </c>
      <c r="I17" s="5" t="s">
        <v>28</v>
      </c>
      <c r="J17" s="5" t="s">
        <v>25</v>
      </c>
      <c r="K17" s="9" t="s">
        <v>78</v>
      </c>
    </row>
    <row r="18" ht="12.75" customHeight="1">
      <c r="A18" s="5" t="s">
        <v>30</v>
      </c>
      <c r="B18" s="5" t="s">
        <v>21</v>
      </c>
      <c r="C18" s="5" t="s">
        <v>22</v>
      </c>
      <c r="D18" s="5" t="s">
        <v>68</v>
      </c>
      <c r="E18" s="5" t="s">
        <v>39</v>
      </c>
      <c r="F18" s="5" t="s">
        <v>48</v>
      </c>
      <c r="G18" s="5" t="s">
        <v>39</v>
      </c>
      <c r="H18" s="5" t="s">
        <v>70</v>
      </c>
      <c r="I18" s="5" t="s">
        <v>28</v>
      </c>
      <c r="J18" s="5" t="s">
        <v>25</v>
      </c>
      <c r="K18" s="9" t="s">
        <v>79</v>
      </c>
    </row>
    <row r="19" ht="12.75" customHeight="1">
      <c r="A19" s="5" t="s">
        <v>30</v>
      </c>
      <c r="B19" s="5" t="s">
        <v>21</v>
      </c>
      <c r="C19" s="5" t="s">
        <v>22</v>
      </c>
      <c r="D19" s="5" t="s">
        <v>37</v>
      </c>
      <c r="E19" s="5" t="s">
        <v>39</v>
      </c>
      <c r="F19" s="5" t="s">
        <v>80</v>
      </c>
      <c r="G19" s="5" t="s">
        <v>39</v>
      </c>
      <c r="H19" s="5" t="s">
        <v>42</v>
      </c>
      <c r="I19" s="5" t="s">
        <v>28</v>
      </c>
      <c r="J19" s="5" t="s">
        <v>25</v>
      </c>
      <c r="K19" s="9" t="s">
        <v>81</v>
      </c>
    </row>
    <row r="20" ht="12.75" customHeight="1">
      <c r="A20" s="5" t="s">
        <v>30</v>
      </c>
      <c r="B20" s="5" t="s">
        <v>21</v>
      </c>
      <c r="C20" s="5" t="s">
        <v>22</v>
      </c>
      <c r="D20" s="5" t="s">
        <v>68</v>
      </c>
      <c r="E20" s="5" t="s">
        <v>39</v>
      </c>
      <c r="F20" s="5" t="s">
        <v>62</v>
      </c>
      <c r="G20" s="5" t="s">
        <v>39</v>
      </c>
      <c r="H20" s="5" t="s">
        <v>70</v>
      </c>
      <c r="I20" s="5" t="s">
        <v>28</v>
      </c>
      <c r="J20" s="5" t="s">
        <v>25</v>
      </c>
      <c r="K20" s="9" t="s">
        <v>82</v>
      </c>
    </row>
    <row r="21" ht="12.75" customHeight="1">
      <c r="A21" s="5" t="s">
        <v>30</v>
      </c>
      <c r="B21" s="5" t="s">
        <v>21</v>
      </c>
      <c r="C21" s="5" t="s">
        <v>22</v>
      </c>
      <c r="D21" s="5" t="s">
        <v>83</v>
      </c>
      <c r="E21" s="5" t="s">
        <v>39</v>
      </c>
      <c r="F21" s="5" t="s">
        <v>62</v>
      </c>
      <c r="G21" s="5" t="s">
        <v>39</v>
      </c>
      <c r="H21" s="5" t="s">
        <v>84</v>
      </c>
      <c r="I21" s="5" t="s">
        <v>28</v>
      </c>
      <c r="J21" s="5" t="s">
        <v>25</v>
      </c>
      <c r="K21" s="9" t="s">
        <v>86</v>
      </c>
    </row>
    <row r="22" ht="12.75" customHeight="1">
      <c r="A22" s="5" t="s">
        <v>30</v>
      </c>
      <c r="B22" s="5" t="s">
        <v>21</v>
      </c>
      <c r="C22" s="5" t="s">
        <v>22</v>
      </c>
      <c r="D22" s="5" t="s">
        <v>68</v>
      </c>
      <c r="E22" s="5" t="s">
        <v>39</v>
      </c>
      <c r="F22" s="5" t="s">
        <v>87</v>
      </c>
      <c r="G22" s="5" t="s">
        <v>39</v>
      </c>
      <c r="H22" s="5" t="s">
        <v>70</v>
      </c>
      <c r="I22" s="5" t="s">
        <v>28</v>
      </c>
      <c r="J22" s="5" t="s">
        <v>25</v>
      </c>
      <c r="K22" s="9" t="s">
        <v>88</v>
      </c>
    </row>
    <row r="23" ht="12.75" customHeight="1">
      <c r="A23" s="5" t="s">
        <v>30</v>
      </c>
      <c r="B23" s="5" t="s">
        <v>21</v>
      </c>
      <c r="C23" s="5" t="s">
        <v>22</v>
      </c>
      <c r="D23" s="5" t="s">
        <v>68</v>
      </c>
      <c r="E23" s="5" t="s">
        <v>39</v>
      </c>
      <c r="F23" s="5" t="s">
        <v>89</v>
      </c>
      <c r="G23" s="5" t="s">
        <v>39</v>
      </c>
      <c r="H23" s="5" t="s">
        <v>70</v>
      </c>
      <c r="I23" s="5" t="s">
        <v>28</v>
      </c>
      <c r="J23" s="5" t="s">
        <v>25</v>
      </c>
      <c r="K23" s="9" t="s">
        <v>90</v>
      </c>
    </row>
    <row r="24" ht="12.75" customHeight="1">
      <c r="A24" s="5" t="s">
        <v>30</v>
      </c>
      <c r="B24" s="5" t="s">
        <v>21</v>
      </c>
      <c r="C24" s="5" t="s">
        <v>22</v>
      </c>
      <c r="D24" s="5" t="s">
        <v>83</v>
      </c>
      <c r="E24" s="5" t="s">
        <v>39</v>
      </c>
      <c r="F24" s="5" t="s">
        <v>91</v>
      </c>
      <c r="G24" s="5" t="s">
        <v>39</v>
      </c>
      <c r="H24" s="5" t="s">
        <v>84</v>
      </c>
      <c r="I24" s="5" t="s">
        <v>28</v>
      </c>
      <c r="J24" s="5" t="s">
        <v>25</v>
      </c>
      <c r="K24" s="9" t="s">
        <v>92</v>
      </c>
    </row>
    <row r="25" ht="12.75" customHeight="1">
      <c r="A25" s="5" t="s">
        <v>30</v>
      </c>
      <c r="B25" s="5" t="s">
        <v>21</v>
      </c>
      <c r="C25" s="5" t="s">
        <v>22</v>
      </c>
      <c r="D25" s="5" t="s">
        <v>72</v>
      </c>
      <c r="E25" s="5" t="s">
        <v>51</v>
      </c>
      <c r="F25" s="5" t="s">
        <v>93</v>
      </c>
      <c r="G25" s="5" t="s">
        <v>51</v>
      </c>
      <c r="H25" s="5" t="s">
        <v>74</v>
      </c>
      <c r="I25" s="5" t="s">
        <v>28</v>
      </c>
      <c r="J25" s="5" t="s">
        <v>25</v>
      </c>
      <c r="K25" s="9" t="s">
        <v>75</v>
      </c>
    </row>
    <row r="26" ht="12.75" customHeight="1">
      <c r="A26" s="5" t="s">
        <v>30</v>
      </c>
      <c r="B26" s="5" t="s">
        <v>21</v>
      </c>
      <c r="C26" s="5" t="s">
        <v>22</v>
      </c>
      <c r="D26" s="5" t="s">
        <v>50</v>
      </c>
      <c r="E26" s="5" t="s">
        <v>51</v>
      </c>
      <c r="F26" s="5" t="s">
        <v>94</v>
      </c>
      <c r="G26" s="5" t="s">
        <v>51</v>
      </c>
      <c r="H26" s="5" t="s">
        <v>53</v>
      </c>
      <c r="I26" s="5" t="s">
        <v>28</v>
      </c>
      <c r="J26" s="5" t="s">
        <v>25</v>
      </c>
      <c r="K26" s="9" t="s">
        <v>95</v>
      </c>
    </row>
    <row r="27" ht="12.75" customHeight="1">
      <c r="A27" s="5" t="s">
        <v>30</v>
      </c>
      <c r="B27" s="5" t="s">
        <v>21</v>
      </c>
      <c r="C27" s="5" t="s">
        <v>22</v>
      </c>
      <c r="D27" s="5" t="s">
        <v>37</v>
      </c>
      <c r="E27" s="5" t="s">
        <v>39</v>
      </c>
      <c r="F27" s="5" t="s">
        <v>96</v>
      </c>
      <c r="G27" s="5" t="s">
        <v>39</v>
      </c>
      <c r="H27" s="5" t="s">
        <v>42</v>
      </c>
      <c r="I27" s="5" t="s">
        <v>28</v>
      </c>
      <c r="J27" s="5" t="s">
        <v>25</v>
      </c>
      <c r="K27" s="9" t="s">
        <v>97</v>
      </c>
    </row>
    <row r="28" ht="12.75" customHeight="1">
      <c r="A28" s="5" t="s">
        <v>30</v>
      </c>
      <c r="B28" s="5" t="s">
        <v>21</v>
      </c>
      <c r="C28" s="5" t="s">
        <v>22</v>
      </c>
      <c r="D28" s="5" t="s">
        <v>72</v>
      </c>
      <c r="E28" s="5" t="s">
        <v>51</v>
      </c>
      <c r="F28" s="5" t="s">
        <v>52</v>
      </c>
      <c r="G28" s="5" t="s">
        <v>51</v>
      </c>
      <c r="H28" s="5" t="s">
        <v>74</v>
      </c>
      <c r="I28" s="5" t="s">
        <v>28</v>
      </c>
      <c r="J28" s="5" t="s">
        <v>25</v>
      </c>
      <c r="K28" s="9" t="s">
        <v>75</v>
      </c>
    </row>
    <row r="29" ht="12.75" customHeight="1">
      <c r="A29" s="5" t="s">
        <v>30</v>
      </c>
      <c r="B29" s="5" t="s">
        <v>21</v>
      </c>
      <c r="C29" s="5" t="s">
        <v>22</v>
      </c>
      <c r="D29" s="5" t="s">
        <v>68</v>
      </c>
      <c r="E29" s="5" t="s">
        <v>39</v>
      </c>
      <c r="F29" s="5" t="s">
        <v>98</v>
      </c>
      <c r="G29" s="5" t="s">
        <v>39</v>
      </c>
      <c r="H29" s="5" t="s">
        <v>70</v>
      </c>
      <c r="I29" s="5" t="s">
        <v>28</v>
      </c>
      <c r="J29" s="5" t="s">
        <v>25</v>
      </c>
      <c r="K29" s="9" t="s">
        <v>99</v>
      </c>
    </row>
    <row r="30" ht="12.75" customHeight="1">
      <c r="A30" s="5" t="s">
        <v>30</v>
      </c>
      <c r="B30" s="5" t="s">
        <v>21</v>
      </c>
      <c r="C30" s="5" t="s">
        <v>22</v>
      </c>
      <c r="D30" s="5" t="s">
        <v>37</v>
      </c>
      <c r="E30" s="5" t="s">
        <v>39</v>
      </c>
      <c r="F30" s="5" t="s">
        <v>98</v>
      </c>
      <c r="G30" s="5" t="s">
        <v>39</v>
      </c>
      <c r="H30" s="5" t="s">
        <v>42</v>
      </c>
      <c r="I30" s="5" t="s">
        <v>28</v>
      </c>
      <c r="J30" s="5" t="s">
        <v>25</v>
      </c>
      <c r="K30" s="9" t="s">
        <v>100</v>
      </c>
    </row>
    <row r="31" ht="12.75" customHeight="1">
      <c r="A31" s="5" t="s">
        <v>30</v>
      </c>
      <c r="B31" s="5" t="s">
        <v>21</v>
      </c>
      <c r="C31" s="5" t="s">
        <v>22</v>
      </c>
      <c r="D31" s="5" t="s">
        <v>101</v>
      </c>
      <c r="E31" s="5" t="s">
        <v>39</v>
      </c>
      <c r="F31" s="5" t="s">
        <v>87</v>
      </c>
      <c r="G31" s="5" t="s">
        <v>39</v>
      </c>
      <c r="H31" s="5" t="s">
        <v>102</v>
      </c>
      <c r="I31" s="5" t="s">
        <v>28</v>
      </c>
      <c r="J31" s="5" t="s">
        <v>25</v>
      </c>
      <c r="K31" s="9" t="s">
        <v>103</v>
      </c>
    </row>
    <row r="32" ht="12.75" customHeight="1">
      <c r="A32" s="5" t="s">
        <v>30</v>
      </c>
      <c r="B32" s="5" t="s">
        <v>21</v>
      </c>
      <c r="C32" s="5" t="s">
        <v>22</v>
      </c>
      <c r="D32" s="5" t="s">
        <v>72</v>
      </c>
      <c r="E32" s="5" t="s">
        <v>51</v>
      </c>
      <c r="F32" s="5" t="s">
        <v>93</v>
      </c>
      <c r="G32" s="5" t="s">
        <v>51</v>
      </c>
      <c r="H32" s="5" t="s">
        <v>74</v>
      </c>
      <c r="I32" s="5" t="s">
        <v>28</v>
      </c>
      <c r="J32" s="5" t="s">
        <v>25</v>
      </c>
      <c r="K32" s="9" t="s">
        <v>104</v>
      </c>
    </row>
    <row r="33" ht="12.75" customHeight="1">
      <c r="A33" s="5" t="s">
        <v>30</v>
      </c>
      <c r="B33" s="5" t="s">
        <v>21</v>
      </c>
      <c r="C33" s="5" t="s">
        <v>22</v>
      </c>
      <c r="D33" s="5" t="s">
        <v>101</v>
      </c>
      <c r="E33" s="5" t="s">
        <v>39</v>
      </c>
      <c r="F33" s="5" t="s">
        <v>64</v>
      </c>
      <c r="G33" s="5" t="s">
        <v>39</v>
      </c>
      <c r="H33" s="5" t="s">
        <v>102</v>
      </c>
      <c r="I33" s="5" t="s">
        <v>28</v>
      </c>
      <c r="J33" s="5" t="s">
        <v>25</v>
      </c>
      <c r="K33" s="9" t="s">
        <v>105</v>
      </c>
    </row>
    <row r="34" ht="12.75" customHeight="1">
      <c r="A34" s="5" t="s">
        <v>30</v>
      </c>
      <c r="B34" s="5" t="s">
        <v>21</v>
      </c>
      <c r="C34" s="5" t="s">
        <v>22</v>
      </c>
      <c r="D34" s="5" t="s">
        <v>50</v>
      </c>
      <c r="E34" s="5" t="s">
        <v>51</v>
      </c>
      <c r="F34" s="5" t="s">
        <v>106</v>
      </c>
      <c r="G34" s="5" t="s">
        <v>51</v>
      </c>
      <c r="H34" s="5" t="s">
        <v>53</v>
      </c>
      <c r="I34" s="5" t="s">
        <v>28</v>
      </c>
      <c r="J34" s="5" t="s">
        <v>25</v>
      </c>
      <c r="K34" s="9" t="s">
        <v>107</v>
      </c>
    </row>
    <row r="35" ht="12.75" customHeight="1">
      <c r="A35" s="5" t="s">
        <v>30</v>
      </c>
      <c r="B35" s="5" t="s">
        <v>21</v>
      </c>
      <c r="C35" s="5" t="s">
        <v>22</v>
      </c>
      <c r="D35" s="5" t="s">
        <v>68</v>
      </c>
      <c r="E35" s="5" t="s">
        <v>39</v>
      </c>
      <c r="F35" s="5" t="s">
        <v>96</v>
      </c>
      <c r="G35" s="5" t="s">
        <v>39</v>
      </c>
      <c r="H35" s="5" t="s">
        <v>70</v>
      </c>
      <c r="I35" s="5" t="s">
        <v>28</v>
      </c>
      <c r="J35" s="5" t="s">
        <v>25</v>
      </c>
      <c r="K35" s="9" t="s">
        <v>108</v>
      </c>
    </row>
    <row r="36" ht="12.75" customHeight="1">
      <c r="A36" s="5" t="s">
        <v>30</v>
      </c>
      <c r="B36" s="5" t="s">
        <v>21</v>
      </c>
      <c r="C36" s="5" t="s">
        <v>22</v>
      </c>
      <c r="D36" s="5" t="s">
        <v>83</v>
      </c>
      <c r="E36" s="5" t="s">
        <v>39</v>
      </c>
      <c r="F36" s="5" t="s">
        <v>48</v>
      </c>
      <c r="G36" s="5" t="s">
        <v>39</v>
      </c>
      <c r="H36" s="5" t="s">
        <v>84</v>
      </c>
      <c r="I36" s="5" t="s">
        <v>28</v>
      </c>
      <c r="J36" s="5" t="s">
        <v>25</v>
      </c>
      <c r="K36" s="9" t="s">
        <v>109</v>
      </c>
    </row>
    <row r="37" ht="12.75" customHeight="1">
      <c r="A37" s="5" t="s">
        <v>30</v>
      </c>
      <c r="B37" s="5" t="s">
        <v>21</v>
      </c>
      <c r="C37" s="5" t="s">
        <v>22</v>
      </c>
      <c r="D37" s="5" t="s">
        <v>50</v>
      </c>
      <c r="E37" s="5" t="s">
        <v>51</v>
      </c>
      <c r="F37" s="5" t="s">
        <v>110</v>
      </c>
      <c r="G37" s="5" t="s">
        <v>51</v>
      </c>
      <c r="H37" s="5" t="s">
        <v>53</v>
      </c>
      <c r="I37" s="5" t="s">
        <v>28</v>
      </c>
      <c r="J37" s="5" t="s">
        <v>25</v>
      </c>
      <c r="K37" s="9" t="s">
        <v>107</v>
      </c>
    </row>
    <row r="38" ht="12.75" customHeight="1">
      <c r="A38" s="5" t="s">
        <v>30</v>
      </c>
      <c r="B38" s="5" t="s">
        <v>21</v>
      </c>
      <c r="C38" s="5" t="s">
        <v>22</v>
      </c>
      <c r="D38" s="5" t="s">
        <v>37</v>
      </c>
      <c r="E38" s="5" t="s">
        <v>39</v>
      </c>
      <c r="F38" s="5" t="s">
        <v>89</v>
      </c>
      <c r="G38" s="5" t="s">
        <v>39</v>
      </c>
      <c r="H38" s="5" t="s">
        <v>42</v>
      </c>
      <c r="I38" s="5" t="s">
        <v>28</v>
      </c>
      <c r="J38" s="5" t="s">
        <v>25</v>
      </c>
      <c r="K38" s="9" t="s">
        <v>111</v>
      </c>
    </row>
    <row r="39" ht="12.75" customHeight="1">
      <c r="A39" s="5" t="s">
        <v>30</v>
      </c>
      <c r="B39" s="5" t="s">
        <v>21</v>
      </c>
      <c r="C39" s="5" t="s">
        <v>22</v>
      </c>
      <c r="D39" s="5" t="s">
        <v>50</v>
      </c>
      <c r="E39" s="5" t="s">
        <v>51</v>
      </c>
      <c r="F39" s="5" t="s">
        <v>112</v>
      </c>
      <c r="G39" s="5" t="s">
        <v>51</v>
      </c>
      <c r="H39" s="5" t="s">
        <v>53</v>
      </c>
      <c r="I39" s="5" t="s">
        <v>28</v>
      </c>
      <c r="J39" s="5" t="s">
        <v>25</v>
      </c>
      <c r="K39" s="9" t="s">
        <v>113</v>
      </c>
    </row>
    <row r="40" ht="12.75" customHeight="1">
      <c r="A40" s="5" t="s">
        <v>30</v>
      </c>
      <c r="B40" s="5" t="s">
        <v>21</v>
      </c>
      <c r="C40" s="5" t="s">
        <v>22</v>
      </c>
      <c r="D40" s="5" t="s">
        <v>72</v>
      </c>
      <c r="E40" s="5" t="s">
        <v>51</v>
      </c>
      <c r="F40" s="5" t="s">
        <v>52</v>
      </c>
      <c r="G40" s="5" t="s">
        <v>51</v>
      </c>
      <c r="H40" s="5" t="s">
        <v>74</v>
      </c>
      <c r="I40" s="5" t="s">
        <v>28</v>
      </c>
      <c r="J40" s="5" t="s">
        <v>25</v>
      </c>
      <c r="K40" s="9" t="s">
        <v>75</v>
      </c>
    </row>
    <row r="41" ht="12.75" customHeight="1">
      <c r="A41" s="5" t="s">
        <v>30</v>
      </c>
      <c r="B41" s="5" t="s">
        <v>21</v>
      </c>
      <c r="C41" s="5" t="s">
        <v>22</v>
      </c>
      <c r="D41" s="5" t="s">
        <v>68</v>
      </c>
      <c r="E41" s="5" t="s">
        <v>39</v>
      </c>
      <c r="F41" s="5" t="s">
        <v>91</v>
      </c>
      <c r="G41" s="5" t="s">
        <v>39</v>
      </c>
      <c r="H41" s="5" t="s">
        <v>70</v>
      </c>
      <c r="I41" s="5" t="s">
        <v>28</v>
      </c>
      <c r="J41" s="5" t="s">
        <v>25</v>
      </c>
      <c r="K41" s="9" t="s">
        <v>92</v>
      </c>
    </row>
    <row r="42" ht="12.75" customHeight="1">
      <c r="A42" s="5" t="s">
        <v>30</v>
      </c>
      <c r="B42" s="5" t="s">
        <v>21</v>
      </c>
      <c r="C42" s="5" t="s">
        <v>22</v>
      </c>
      <c r="D42" s="5" t="s">
        <v>50</v>
      </c>
      <c r="E42" s="5" t="s">
        <v>51</v>
      </c>
      <c r="F42" s="5" t="s">
        <v>114</v>
      </c>
      <c r="G42" s="5" t="s">
        <v>51</v>
      </c>
      <c r="H42" s="5" t="s">
        <v>53</v>
      </c>
      <c r="I42" s="5" t="s">
        <v>28</v>
      </c>
      <c r="J42" s="5" t="s">
        <v>25</v>
      </c>
      <c r="K42" s="9" t="s">
        <v>115</v>
      </c>
    </row>
    <row r="43" ht="12.75" customHeight="1">
      <c r="A43" s="5" t="s">
        <v>30</v>
      </c>
      <c r="B43" s="5" t="s">
        <v>21</v>
      </c>
      <c r="C43" s="5" t="s">
        <v>22</v>
      </c>
      <c r="D43" s="5" t="s">
        <v>101</v>
      </c>
      <c r="E43" s="5" t="s">
        <v>39</v>
      </c>
      <c r="F43" s="5" t="s">
        <v>96</v>
      </c>
      <c r="G43" s="5" t="s">
        <v>39</v>
      </c>
      <c r="H43" s="5" t="s">
        <v>102</v>
      </c>
      <c r="I43" s="5" t="s">
        <v>28</v>
      </c>
      <c r="J43" s="5" t="s">
        <v>25</v>
      </c>
      <c r="K43" s="9" t="s">
        <v>109</v>
      </c>
    </row>
    <row r="44" ht="12.75" customHeight="1">
      <c r="A44" s="5" t="s">
        <v>30</v>
      </c>
      <c r="B44" s="5" t="s">
        <v>21</v>
      </c>
      <c r="C44" s="5" t="s">
        <v>22</v>
      </c>
      <c r="D44" s="5" t="s">
        <v>68</v>
      </c>
      <c r="E44" s="5" t="s">
        <v>39</v>
      </c>
      <c r="F44" s="5" t="s">
        <v>46</v>
      </c>
      <c r="G44" s="5" t="s">
        <v>39</v>
      </c>
      <c r="H44" s="5" t="s">
        <v>70</v>
      </c>
      <c r="I44" s="5" t="s">
        <v>28</v>
      </c>
      <c r="J44" s="5" t="s">
        <v>25</v>
      </c>
      <c r="K44" s="9" t="s">
        <v>116</v>
      </c>
    </row>
    <row r="45" ht="12.75" customHeight="1">
      <c r="A45" s="5" t="s">
        <v>30</v>
      </c>
      <c r="B45" s="5" t="s">
        <v>21</v>
      </c>
      <c r="C45" s="5" t="s">
        <v>22</v>
      </c>
      <c r="D45" s="5" t="s">
        <v>68</v>
      </c>
      <c r="E45" s="5" t="s">
        <v>39</v>
      </c>
      <c r="F45" s="5" t="s">
        <v>80</v>
      </c>
      <c r="G45" s="5" t="s">
        <v>39</v>
      </c>
      <c r="H45" s="5" t="s">
        <v>70</v>
      </c>
      <c r="I45" s="5" t="s">
        <v>28</v>
      </c>
      <c r="J45" s="5" t="s">
        <v>25</v>
      </c>
      <c r="K45" s="9" t="s">
        <v>117</v>
      </c>
    </row>
    <row r="46" ht="12.75" customHeight="1">
      <c r="A46" s="5" t="s">
        <v>30</v>
      </c>
      <c r="B46" s="5" t="s">
        <v>21</v>
      </c>
      <c r="C46" s="5" t="s">
        <v>22</v>
      </c>
      <c r="D46" s="5" t="s">
        <v>37</v>
      </c>
      <c r="E46" s="5" t="s">
        <v>39</v>
      </c>
      <c r="F46" s="5" t="s">
        <v>87</v>
      </c>
      <c r="G46" s="5" t="s">
        <v>39</v>
      </c>
      <c r="H46" s="5" t="s">
        <v>42</v>
      </c>
      <c r="I46" s="5" t="s">
        <v>28</v>
      </c>
      <c r="J46" s="5" t="s">
        <v>25</v>
      </c>
      <c r="K46" s="9" t="s">
        <v>118</v>
      </c>
    </row>
    <row r="47" ht="12.75" customHeight="1">
      <c r="A47" s="5" t="s">
        <v>30</v>
      </c>
      <c r="B47" s="5" t="s">
        <v>21</v>
      </c>
      <c r="C47" s="5" t="s">
        <v>22</v>
      </c>
      <c r="D47" s="5" t="s">
        <v>37</v>
      </c>
      <c r="E47" s="5" t="s">
        <v>39</v>
      </c>
      <c r="F47" s="5" t="s">
        <v>77</v>
      </c>
      <c r="G47" s="5" t="s">
        <v>39</v>
      </c>
      <c r="H47" s="5" t="s">
        <v>42</v>
      </c>
      <c r="I47" s="5" t="s">
        <v>28</v>
      </c>
      <c r="J47" s="5" t="s">
        <v>25</v>
      </c>
      <c r="K47" s="9" t="s">
        <v>100</v>
      </c>
    </row>
    <row r="48" ht="12.75" customHeight="1">
      <c r="A48" s="5" t="s">
        <v>30</v>
      </c>
      <c r="B48" s="5" t="s">
        <v>21</v>
      </c>
      <c r="C48" s="5" t="s">
        <v>22</v>
      </c>
      <c r="D48" s="5" t="s">
        <v>68</v>
      </c>
      <c r="E48" s="5" t="s">
        <v>39</v>
      </c>
      <c r="F48" s="5" t="s">
        <v>66</v>
      </c>
      <c r="G48" s="5" t="s">
        <v>39</v>
      </c>
      <c r="H48" s="5" t="s">
        <v>70</v>
      </c>
      <c r="I48" s="5" t="s">
        <v>28</v>
      </c>
      <c r="J48" s="5" t="s">
        <v>25</v>
      </c>
      <c r="K48" s="9" t="s">
        <v>119</v>
      </c>
    </row>
    <row r="49" ht="12.75" customHeight="1">
      <c r="A49" s="5" t="s">
        <v>30</v>
      </c>
      <c r="B49" s="5" t="s">
        <v>21</v>
      </c>
      <c r="C49" s="5" t="s">
        <v>22</v>
      </c>
      <c r="D49" s="5" t="s">
        <v>101</v>
      </c>
      <c r="E49" s="5" t="s">
        <v>39</v>
      </c>
      <c r="F49" s="5" t="s">
        <v>46</v>
      </c>
      <c r="G49" s="5" t="s">
        <v>39</v>
      </c>
      <c r="H49" s="5" t="s">
        <v>102</v>
      </c>
      <c r="I49" s="5" t="s">
        <v>28</v>
      </c>
      <c r="J49" s="5" t="s">
        <v>25</v>
      </c>
      <c r="K49" s="9" t="s">
        <v>120</v>
      </c>
    </row>
    <row r="50" ht="12.75" customHeight="1">
      <c r="A50" s="5" t="s">
        <v>30</v>
      </c>
      <c r="B50" s="5" t="s">
        <v>21</v>
      </c>
      <c r="C50" s="5" t="s">
        <v>22</v>
      </c>
      <c r="D50" s="5" t="s">
        <v>37</v>
      </c>
      <c r="E50" s="5" t="s">
        <v>39</v>
      </c>
      <c r="F50" s="5" t="s">
        <v>69</v>
      </c>
      <c r="G50" s="5" t="s">
        <v>39</v>
      </c>
      <c r="H50" s="5" t="s">
        <v>42</v>
      </c>
      <c r="I50" s="5" t="s">
        <v>28</v>
      </c>
      <c r="J50" s="5" t="s">
        <v>25</v>
      </c>
      <c r="K50" s="9" t="s">
        <v>121</v>
      </c>
    </row>
    <row r="51" ht="12.75" customHeight="1">
      <c r="A51" s="5" t="s">
        <v>30</v>
      </c>
      <c r="B51" s="5" t="s">
        <v>21</v>
      </c>
      <c r="C51" s="5" t="s">
        <v>22</v>
      </c>
      <c r="D51" s="5" t="s">
        <v>37</v>
      </c>
      <c r="E51" s="5" t="s">
        <v>39</v>
      </c>
      <c r="F51" s="5" t="s">
        <v>91</v>
      </c>
      <c r="G51" s="5" t="s">
        <v>39</v>
      </c>
      <c r="H51" s="5" t="s">
        <v>42</v>
      </c>
      <c r="I51" s="5" t="s">
        <v>28</v>
      </c>
      <c r="J51" s="5" t="s">
        <v>25</v>
      </c>
      <c r="K51" s="9" t="s">
        <v>122</v>
      </c>
    </row>
    <row r="52" ht="12.75" customHeight="1">
      <c r="A52" s="5" t="s">
        <v>30</v>
      </c>
      <c r="B52" s="5" t="s">
        <v>21</v>
      </c>
      <c r="C52" s="5" t="s">
        <v>22</v>
      </c>
      <c r="D52" s="5" t="s">
        <v>68</v>
      </c>
      <c r="E52" s="5" t="s">
        <v>39</v>
      </c>
      <c r="F52" s="5" t="s">
        <v>64</v>
      </c>
      <c r="G52" s="5" t="s">
        <v>39</v>
      </c>
      <c r="H52" s="5" t="s">
        <v>70</v>
      </c>
      <c r="I52" s="5" t="s">
        <v>28</v>
      </c>
      <c r="J52" s="5" t="s">
        <v>25</v>
      </c>
      <c r="K52" s="9" t="s">
        <v>123</v>
      </c>
    </row>
    <row r="53" ht="12.75" customHeight="1">
      <c r="A53" s="5" t="s">
        <v>30</v>
      </c>
      <c r="B53" s="5" t="s">
        <v>21</v>
      </c>
      <c r="C53" s="5" t="s">
        <v>22</v>
      </c>
      <c r="D53" s="5" t="s">
        <v>50</v>
      </c>
      <c r="E53" s="5" t="s">
        <v>51</v>
      </c>
      <c r="F53" s="5" t="s">
        <v>52</v>
      </c>
      <c r="G53" s="5" t="s">
        <v>51</v>
      </c>
      <c r="H53" s="5" t="s">
        <v>53</v>
      </c>
      <c r="I53" s="5" t="s">
        <v>28</v>
      </c>
      <c r="J53" s="5" t="s">
        <v>25</v>
      </c>
      <c r="K53" s="9" t="s">
        <v>124</v>
      </c>
    </row>
    <row r="54" ht="12.75" customHeight="1">
      <c r="A54" s="5" t="s">
        <v>20</v>
      </c>
      <c r="B54" s="5" t="s">
        <v>36</v>
      </c>
      <c r="C54" s="5" t="s">
        <v>22</v>
      </c>
      <c r="D54" s="5" t="s">
        <v>125</v>
      </c>
      <c r="E54" s="5" t="s">
        <v>25</v>
      </c>
      <c r="F54" s="5" t="s">
        <v>25</v>
      </c>
      <c r="G54" s="5" t="s">
        <v>126</v>
      </c>
      <c r="H54" s="5" t="s">
        <v>127</v>
      </c>
      <c r="I54" s="5" t="s">
        <v>28</v>
      </c>
      <c r="J54" s="5" t="s">
        <v>25</v>
      </c>
      <c r="K54" s="9" t="s">
        <v>128</v>
      </c>
    </row>
    <row r="55" ht="12.75" customHeight="1">
      <c r="A55" s="5" t="s">
        <v>20</v>
      </c>
      <c r="B55" s="5" t="s">
        <v>36</v>
      </c>
      <c r="C55" s="5" t="s">
        <v>22</v>
      </c>
      <c r="D55" s="5" t="s">
        <v>125</v>
      </c>
      <c r="E55" s="5" t="s">
        <v>25</v>
      </c>
      <c r="F55" s="5" t="s">
        <v>25</v>
      </c>
      <c r="G55" s="5" t="s">
        <v>126</v>
      </c>
      <c r="H55" s="5" t="s">
        <v>129</v>
      </c>
      <c r="I55" s="5" t="s">
        <v>28</v>
      </c>
      <c r="J55" s="5" t="s">
        <v>25</v>
      </c>
      <c r="K55" s="9" t="s">
        <v>128</v>
      </c>
    </row>
    <row r="56" ht="12.75" customHeight="1">
      <c r="A56" s="5" t="s">
        <v>20</v>
      </c>
      <c r="B56" s="5" t="s">
        <v>36</v>
      </c>
      <c r="C56" s="5" t="s">
        <v>22</v>
      </c>
      <c r="D56" s="5" t="s">
        <v>125</v>
      </c>
      <c r="E56" s="5" t="s">
        <v>25</v>
      </c>
      <c r="F56" s="5" t="s">
        <v>25</v>
      </c>
      <c r="G56" s="5" t="s">
        <v>126</v>
      </c>
      <c r="H56" s="5" t="s">
        <v>130</v>
      </c>
      <c r="I56" s="5" t="s">
        <v>28</v>
      </c>
      <c r="J56" s="5" t="s">
        <v>25</v>
      </c>
      <c r="K56" s="9" t="s">
        <v>128</v>
      </c>
    </row>
    <row r="57" ht="12.75" customHeight="1">
      <c r="A57" s="5" t="s">
        <v>20</v>
      </c>
      <c r="B57" s="5" t="s">
        <v>36</v>
      </c>
      <c r="C57" s="5" t="s">
        <v>22</v>
      </c>
      <c r="D57" s="5" t="s">
        <v>125</v>
      </c>
      <c r="E57" s="5" t="s">
        <v>25</v>
      </c>
      <c r="F57" s="5" t="s">
        <v>25</v>
      </c>
      <c r="G57" s="5" t="s">
        <v>131</v>
      </c>
      <c r="H57" s="5" t="s">
        <v>132</v>
      </c>
      <c r="I57" s="5" t="s">
        <v>28</v>
      </c>
      <c r="J57" s="5" t="s">
        <v>25</v>
      </c>
      <c r="K57" s="9" t="s">
        <v>128</v>
      </c>
    </row>
    <row r="58" ht="12.75" customHeight="1">
      <c r="A58" s="5" t="s">
        <v>20</v>
      </c>
      <c r="B58" s="5" t="s">
        <v>36</v>
      </c>
      <c r="C58" s="5" t="s">
        <v>22</v>
      </c>
      <c r="D58" s="5" t="s">
        <v>125</v>
      </c>
      <c r="E58" s="5" t="s">
        <v>25</v>
      </c>
      <c r="F58" s="5" t="s">
        <v>25</v>
      </c>
      <c r="G58" s="5" t="s">
        <v>126</v>
      </c>
      <c r="H58" s="5" t="s">
        <v>133</v>
      </c>
      <c r="I58" s="5" t="s">
        <v>28</v>
      </c>
      <c r="J58" s="5" t="s">
        <v>25</v>
      </c>
      <c r="K58" s="9" t="s">
        <v>128</v>
      </c>
    </row>
    <row r="59" ht="12.75" customHeight="1">
      <c r="A59" s="5" t="s">
        <v>20</v>
      </c>
      <c r="B59" s="5" t="s">
        <v>36</v>
      </c>
      <c r="C59" s="5" t="s">
        <v>22</v>
      </c>
      <c r="D59" s="5" t="s">
        <v>125</v>
      </c>
      <c r="E59" s="5" t="s">
        <v>25</v>
      </c>
      <c r="F59" s="5" t="s">
        <v>25</v>
      </c>
      <c r="G59" s="5" t="s">
        <v>126</v>
      </c>
      <c r="H59" s="5" t="s">
        <v>134</v>
      </c>
      <c r="I59" s="5" t="s">
        <v>28</v>
      </c>
      <c r="J59" s="5" t="s">
        <v>25</v>
      </c>
      <c r="K59" s="9" t="s">
        <v>128</v>
      </c>
    </row>
    <row r="60" ht="12.75" customHeight="1">
      <c r="A60" s="5" t="s">
        <v>20</v>
      </c>
      <c r="B60" s="5" t="s">
        <v>36</v>
      </c>
      <c r="C60" s="5" t="s">
        <v>22</v>
      </c>
      <c r="D60" s="5" t="s">
        <v>125</v>
      </c>
      <c r="E60" s="5" t="s">
        <v>25</v>
      </c>
      <c r="F60" s="5" t="s">
        <v>25</v>
      </c>
      <c r="G60" s="5" t="s">
        <v>126</v>
      </c>
      <c r="H60" s="5" t="s">
        <v>135</v>
      </c>
      <c r="I60" s="5" t="s">
        <v>28</v>
      </c>
      <c r="J60" s="5" t="s">
        <v>25</v>
      </c>
      <c r="K60" s="9" t="s">
        <v>128</v>
      </c>
    </row>
    <row r="61" ht="12.75" customHeight="1">
      <c r="A61" s="5" t="s">
        <v>20</v>
      </c>
      <c r="B61" s="5" t="s">
        <v>36</v>
      </c>
      <c r="C61" s="5" t="s">
        <v>22</v>
      </c>
      <c r="D61" s="5" t="s">
        <v>125</v>
      </c>
      <c r="E61" s="5" t="s">
        <v>25</v>
      </c>
      <c r="F61" s="5" t="s">
        <v>25</v>
      </c>
      <c r="G61" s="5" t="s">
        <v>126</v>
      </c>
      <c r="H61" s="5" t="s">
        <v>136</v>
      </c>
      <c r="I61" s="5" t="s">
        <v>28</v>
      </c>
      <c r="J61" s="5" t="s">
        <v>25</v>
      </c>
      <c r="K61" s="9" t="s">
        <v>128</v>
      </c>
    </row>
    <row r="62" ht="12.75" customHeight="1">
      <c r="A62" s="5" t="s">
        <v>20</v>
      </c>
      <c r="B62" s="5" t="s">
        <v>36</v>
      </c>
      <c r="C62" s="5" t="s">
        <v>22</v>
      </c>
      <c r="D62" s="5" t="s">
        <v>125</v>
      </c>
      <c r="E62" s="5" t="s">
        <v>25</v>
      </c>
      <c r="F62" s="5" t="s">
        <v>25</v>
      </c>
      <c r="G62" s="5" t="s">
        <v>126</v>
      </c>
      <c r="H62" s="5" t="s">
        <v>137</v>
      </c>
      <c r="I62" s="5" t="s">
        <v>28</v>
      </c>
      <c r="J62" s="5" t="s">
        <v>25</v>
      </c>
      <c r="K62" s="9" t="s">
        <v>128</v>
      </c>
    </row>
    <row r="63" ht="12.75" customHeight="1">
      <c r="A63" s="5" t="s">
        <v>20</v>
      </c>
      <c r="B63" s="5" t="s">
        <v>36</v>
      </c>
      <c r="C63" s="5" t="s">
        <v>22</v>
      </c>
      <c r="D63" s="5" t="s">
        <v>125</v>
      </c>
      <c r="E63" s="5" t="s">
        <v>25</v>
      </c>
      <c r="F63" s="5" t="s">
        <v>25</v>
      </c>
      <c r="G63" s="5" t="s">
        <v>131</v>
      </c>
      <c r="H63" s="5" t="s">
        <v>138</v>
      </c>
      <c r="I63" s="5" t="s">
        <v>28</v>
      </c>
      <c r="J63" s="5" t="s">
        <v>25</v>
      </c>
      <c r="K63" s="9" t="s">
        <v>128</v>
      </c>
    </row>
    <row r="64" ht="12.75" customHeight="1">
      <c r="A64" s="5" t="s">
        <v>20</v>
      </c>
      <c r="B64" s="5" t="s">
        <v>36</v>
      </c>
      <c r="C64" s="5" t="s">
        <v>22</v>
      </c>
      <c r="D64" s="5" t="s">
        <v>125</v>
      </c>
      <c r="E64" s="5" t="s">
        <v>25</v>
      </c>
      <c r="F64" s="5" t="s">
        <v>25</v>
      </c>
      <c r="G64" s="5" t="s">
        <v>126</v>
      </c>
      <c r="H64" s="5" t="s">
        <v>139</v>
      </c>
      <c r="I64" s="5" t="s">
        <v>28</v>
      </c>
      <c r="J64" s="5" t="s">
        <v>25</v>
      </c>
      <c r="K64" s="9" t="s">
        <v>128</v>
      </c>
    </row>
    <row r="65" ht="12.75" customHeight="1">
      <c r="A65" s="5" t="s">
        <v>20</v>
      </c>
      <c r="B65" s="5" t="s">
        <v>36</v>
      </c>
      <c r="C65" s="5" t="s">
        <v>22</v>
      </c>
      <c r="D65" s="5" t="s">
        <v>125</v>
      </c>
      <c r="E65" s="5" t="s">
        <v>25</v>
      </c>
      <c r="F65" s="5" t="s">
        <v>25</v>
      </c>
      <c r="G65" s="5" t="s">
        <v>126</v>
      </c>
      <c r="H65" s="5" t="s">
        <v>140</v>
      </c>
      <c r="I65" s="5" t="s">
        <v>28</v>
      </c>
      <c r="J65" s="5" t="s">
        <v>25</v>
      </c>
      <c r="K65" s="9" t="s">
        <v>128</v>
      </c>
    </row>
    <row r="66" ht="12.75" customHeight="1">
      <c r="A66" s="5" t="s">
        <v>20</v>
      </c>
      <c r="B66" s="5" t="s">
        <v>36</v>
      </c>
      <c r="C66" s="5" t="s">
        <v>22</v>
      </c>
      <c r="D66" s="5" t="s">
        <v>125</v>
      </c>
      <c r="E66" s="5" t="s">
        <v>25</v>
      </c>
      <c r="F66" s="5" t="s">
        <v>25</v>
      </c>
      <c r="G66" s="5" t="s">
        <v>126</v>
      </c>
      <c r="H66" s="5" t="s">
        <v>141</v>
      </c>
      <c r="I66" s="5" t="s">
        <v>28</v>
      </c>
      <c r="J66" s="5" t="s">
        <v>25</v>
      </c>
      <c r="K66" s="9" t="s">
        <v>128</v>
      </c>
    </row>
    <row r="67" ht="12.75" customHeight="1">
      <c r="A67" s="5" t="s">
        <v>20</v>
      </c>
      <c r="B67" s="5" t="s">
        <v>36</v>
      </c>
      <c r="C67" s="5" t="s">
        <v>22</v>
      </c>
      <c r="D67" s="5" t="s">
        <v>125</v>
      </c>
      <c r="E67" s="5" t="s">
        <v>25</v>
      </c>
      <c r="F67" s="5" t="s">
        <v>25</v>
      </c>
      <c r="G67" s="5" t="s">
        <v>126</v>
      </c>
      <c r="H67" s="5" t="s">
        <v>142</v>
      </c>
      <c r="I67" s="5" t="s">
        <v>28</v>
      </c>
      <c r="J67" s="5" t="s">
        <v>25</v>
      </c>
      <c r="K67" s="9" t="s">
        <v>128</v>
      </c>
    </row>
    <row r="68" ht="12.75" customHeight="1">
      <c r="A68" s="5" t="s">
        <v>20</v>
      </c>
      <c r="B68" s="5" t="s">
        <v>36</v>
      </c>
      <c r="C68" s="5" t="s">
        <v>22</v>
      </c>
      <c r="D68" s="5" t="s">
        <v>125</v>
      </c>
      <c r="E68" s="5" t="s">
        <v>25</v>
      </c>
      <c r="F68" s="5" t="s">
        <v>25</v>
      </c>
      <c r="G68" s="5" t="s">
        <v>126</v>
      </c>
      <c r="H68" s="5" t="s">
        <v>143</v>
      </c>
      <c r="I68" s="5" t="s">
        <v>28</v>
      </c>
      <c r="J68" s="5" t="s">
        <v>25</v>
      </c>
      <c r="K68" s="9" t="s">
        <v>128</v>
      </c>
    </row>
    <row r="69" ht="12.75" customHeight="1">
      <c r="A69" s="5" t="s">
        <v>20</v>
      </c>
      <c r="B69" s="5" t="s">
        <v>36</v>
      </c>
      <c r="C69" s="5" t="s">
        <v>22</v>
      </c>
      <c r="D69" s="5" t="s">
        <v>125</v>
      </c>
      <c r="E69" s="5" t="s">
        <v>25</v>
      </c>
      <c r="F69" s="5" t="s">
        <v>25</v>
      </c>
      <c r="G69" s="5" t="s">
        <v>126</v>
      </c>
      <c r="H69" s="5" t="s">
        <v>144</v>
      </c>
      <c r="I69" s="5" t="s">
        <v>28</v>
      </c>
      <c r="J69" s="5" t="s">
        <v>25</v>
      </c>
      <c r="K69" s="9" t="s">
        <v>128</v>
      </c>
    </row>
    <row r="70" ht="12.75" customHeight="1">
      <c r="A70" s="5" t="s">
        <v>20</v>
      </c>
      <c r="B70" s="5" t="s">
        <v>36</v>
      </c>
      <c r="C70" s="5" t="s">
        <v>22</v>
      </c>
      <c r="D70" s="5" t="s">
        <v>125</v>
      </c>
      <c r="E70" s="5" t="s">
        <v>25</v>
      </c>
      <c r="F70" s="5" t="s">
        <v>25</v>
      </c>
      <c r="G70" s="5" t="s">
        <v>126</v>
      </c>
      <c r="H70" s="5" t="s">
        <v>145</v>
      </c>
      <c r="I70" s="5" t="s">
        <v>28</v>
      </c>
      <c r="J70" s="5" t="s">
        <v>25</v>
      </c>
      <c r="K70" s="9" t="s">
        <v>128</v>
      </c>
    </row>
    <row r="71" ht="12.75" customHeight="1">
      <c r="A71" s="5" t="s">
        <v>20</v>
      </c>
      <c r="B71" s="5" t="s">
        <v>36</v>
      </c>
      <c r="C71" s="5" t="s">
        <v>22</v>
      </c>
      <c r="D71" s="5" t="s">
        <v>125</v>
      </c>
      <c r="E71" s="5" t="s">
        <v>25</v>
      </c>
      <c r="F71" s="5" t="s">
        <v>25</v>
      </c>
      <c r="G71" s="5" t="s">
        <v>126</v>
      </c>
      <c r="H71" s="5" t="s">
        <v>146</v>
      </c>
      <c r="I71" s="5" t="s">
        <v>28</v>
      </c>
      <c r="J71" s="5" t="s">
        <v>25</v>
      </c>
      <c r="K71" s="9" t="s">
        <v>128</v>
      </c>
    </row>
    <row r="72" ht="12.75" customHeight="1">
      <c r="A72" s="5" t="s">
        <v>20</v>
      </c>
      <c r="B72" s="5" t="s">
        <v>36</v>
      </c>
      <c r="C72" s="5" t="s">
        <v>22</v>
      </c>
      <c r="D72" s="5" t="s">
        <v>125</v>
      </c>
      <c r="E72" s="5" t="s">
        <v>25</v>
      </c>
      <c r="F72" s="5" t="s">
        <v>25</v>
      </c>
      <c r="G72" s="5" t="s">
        <v>126</v>
      </c>
      <c r="H72" s="5" t="s">
        <v>147</v>
      </c>
      <c r="I72" s="5" t="s">
        <v>28</v>
      </c>
      <c r="J72" s="5" t="s">
        <v>25</v>
      </c>
      <c r="K72" s="9" t="s">
        <v>128</v>
      </c>
    </row>
    <row r="73" ht="12.75" customHeight="1">
      <c r="A73" s="5" t="s">
        <v>20</v>
      </c>
      <c r="B73" s="5" t="s">
        <v>36</v>
      </c>
      <c r="C73" s="5" t="s">
        <v>22</v>
      </c>
      <c r="D73" s="5" t="s">
        <v>125</v>
      </c>
      <c r="E73" s="5" t="s">
        <v>25</v>
      </c>
      <c r="F73" s="5" t="s">
        <v>25</v>
      </c>
      <c r="G73" s="5" t="s">
        <v>126</v>
      </c>
      <c r="H73" s="5" t="s">
        <v>148</v>
      </c>
      <c r="I73" s="5" t="s">
        <v>28</v>
      </c>
      <c r="J73" s="5" t="s">
        <v>25</v>
      </c>
      <c r="K73" s="9" t="s">
        <v>128</v>
      </c>
    </row>
    <row r="74" ht="12.75" customHeight="1">
      <c r="A74" s="5" t="s">
        <v>20</v>
      </c>
      <c r="B74" s="5" t="s">
        <v>36</v>
      </c>
      <c r="C74" s="5" t="s">
        <v>22</v>
      </c>
      <c r="D74" s="5" t="s">
        <v>125</v>
      </c>
      <c r="E74" s="5" t="s">
        <v>25</v>
      </c>
      <c r="F74" s="5" t="s">
        <v>25</v>
      </c>
      <c r="G74" s="5" t="s">
        <v>126</v>
      </c>
      <c r="H74" s="5" t="s">
        <v>149</v>
      </c>
      <c r="I74" s="5" t="s">
        <v>28</v>
      </c>
      <c r="J74" s="5" t="s">
        <v>25</v>
      </c>
      <c r="K74" s="9" t="s">
        <v>128</v>
      </c>
    </row>
    <row r="75" ht="12.75" customHeight="1">
      <c r="A75" s="5" t="s">
        <v>20</v>
      </c>
      <c r="B75" s="5" t="s">
        <v>36</v>
      </c>
      <c r="C75" s="5" t="s">
        <v>22</v>
      </c>
      <c r="D75" s="5" t="s">
        <v>125</v>
      </c>
      <c r="E75" s="5" t="s">
        <v>25</v>
      </c>
      <c r="F75" s="5" t="s">
        <v>25</v>
      </c>
      <c r="G75" s="5" t="s">
        <v>126</v>
      </c>
      <c r="H75" s="5" t="s">
        <v>150</v>
      </c>
      <c r="I75" s="5" t="s">
        <v>28</v>
      </c>
      <c r="J75" s="5" t="s">
        <v>25</v>
      </c>
      <c r="K75" s="9" t="s">
        <v>128</v>
      </c>
    </row>
    <row r="76" ht="12.75" customHeight="1">
      <c r="A76" s="5" t="s">
        <v>20</v>
      </c>
      <c r="B76" s="5" t="s">
        <v>36</v>
      </c>
      <c r="C76" s="5" t="s">
        <v>22</v>
      </c>
      <c r="D76" s="5" t="s">
        <v>24</v>
      </c>
      <c r="E76" s="5" t="s">
        <v>25</v>
      </c>
      <c r="F76" s="5" t="s">
        <v>25</v>
      </c>
      <c r="G76" s="5" t="s">
        <v>151</v>
      </c>
      <c r="H76" s="5" t="s">
        <v>152</v>
      </c>
      <c r="I76" s="5" t="s">
        <v>28</v>
      </c>
      <c r="J76" s="5" t="s">
        <v>25</v>
      </c>
      <c r="K76" s="9" t="s">
        <v>153</v>
      </c>
    </row>
    <row r="77" ht="12.75" customHeight="1">
      <c r="A77" s="5" t="s">
        <v>154</v>
      </c>
      <c r="B77" s="5" t="s">
        <v>38</v>
      </c>
      <c r="C77" s="5" t="s">
        <v>155</v>
      </c>
      <c r="D77" s="5" t="s">
        <v>156</v>
      </c>
      <c r="E77" s="5" t="s">
        <v>157</v>
      </c>
      <c r="F77" s="5" t="s">
        <v>158</v>
      </c>
      <c r="G77" s="5" t="s">
        <v>157</v>
      </c>
      <c r="H77" s="5" t="s">
        <v>159</v>
      </c>
      <c r="I77" s="5" t="s">
        <v>28</v>
      </c>
      <c r="J77" s="5" t="s">
        <v>25</v>
      </c>
      <c r="K77" s="9" t="s">
        <v>160</v>
      </c>
    </row>
    <row r="78" ht="12.75" customHeight="1">
      <c r="A78" s="5" t="s">
        <v>154</v>
      </c>
      <c r="B78" s="5" t="s">
        <v>38</v>
      </c>
      <c r="C78" s="5" t="s">
        <v>155</v>
      </c>
      <c r="D78" s="5" t="s">
        <v>156</v>
      </c>
      <c r="E78" s="5" t="s">
        <v>157</v>
      </c>
      <c r="F78" s="5" t="s">
        <v>158</v>
      </c>
      <c r="G78" s="5" t="s">
        <v>157</v>
      </c>
      <c r="H78" s="5" t="s">
        <v>161</v>
      </c>
      <c r="I78" s="5" t="s">
        <v>28</v>
      </c>
      <c r="J78" s="5" t="s">
        <v>25</v>
      </c>
      <c r="K78" s="9" t="s">
        <v>160</v>
      </c>
    </row>
    <row r="79" ht="12.75" customHeight="1">
      <c r="A79" s="5" t="s">
        <v>154</v>
      </c>
      <c r="B79" s="5" t="s">
        <v>38</v>
      </c>
      <c r="C79" s="5" t="s">
        <v>155</v>
      </c>
      <c r="D79" s="5" t="s">
        <v>156</v>
      </c>
      <c r="E79" s="5" t="s">
        <v>39</v>
      </c>
      <c r="F79" s="5" t="s">
        <v>162</v>
      </c>
      <c r="G79" s="5" t="s">
        <v>39</v>
      </c>
      <c r="H79" s="5" t="s">
        <v>42</v>
      </c>
      <c r="I79" s="5" t="s">
        <v>28</v>
      </c>
      <c r="J79" s="5" t="s">
        <v>25</v>
      </c>
      <c r="K79" s="9" t="s">
        <v>160</v>
      </c>
    </row>
    <row r="80" ht="12.75" customHeight="1">
      <c r="A80" s="5" t="s">
        <v>154</v>
      </c>
      <c r="B80" s="5" t="s">
        <v>38</v>
      </c>
      <c r="C80" s="5" t="s">
        <v>155</v>
      </c>
      <c r="D80" s="5" t="s">
        <v>156</v>
      </c>
      <c r="E80" s="5" t="s">
        <v>51</v>
      </c>
      <c r="F80" s="5" t="s">
        <v>163</v>
      </c>
      <c r="G80" s="5" t="s">
        <v>51</v>
      </c>
      <c r="H80" s="5" t="s">
        <v>53</v>
      </c>
      <c r="I80" s="5" t="s">
        <v>28</v>
      </c>
      <c r="J80" s="5" t="s">
        <v>25</v>
      </c>
      <c r="K80" s="9" t="s">
        <v>160</v>
      </c>
    </row>
    <row r="81" ht="12.75" customHeight="1">
      <c r="A81" s="5" t="s">
        <v>154</v>
      </c>
      <c r="B81" s="5" t="s">
        <v>38</v>
      </c>
      <c r="C81" s="5" t="s">
        <v>155</v>
      </c>
      <c r="D81" s="5" t="s">
        <v>156</v>
      </c>
      <c r="E81" s="5" t="s">
        <v>157</v>
      </c>
      <c r="F81" s="5" t="s">
        <v>158</v>
      </c>
      <c r="G81" s="5" t="s">
        <v>157</v>
      </c>
      <c r="H81" s="5" t="s">
        <v>164</v>
      </c>
      <c r="I81" s="5" t="s">
        <v>28</v>
      </c>
      <c r="J81" s="5" t="s">
        <v>25</v>
      </c>
      <c r="K81" s="9" t="s">
        <v>160</v>
      </c>
    </row>
    <row r="82" ht="12.75" customHeight="1">
      <c r="A82" s="5" t="s">
        <v>154</v>
      </c>
      <c r="B82" s="5" t="s">
        <v>38</v>
      </c>
      <c r="C82" s="5" t="s">
        <v>155</v>
      </c>
      <c r="D82" s="5" t="s">
        <v>156</v>
      </c>
      <c r="E82" s="5" t="s">
        <v>157</v>
      </c>
      <c r="F82" s="5" t="s">
        <v>158</v>
      </c>
      <c r="G82" s="5" t="s">
        <v>157</v>
      </c>
      <c r="H82" s="5" t="s">
        <v>165</v>
      </c>
      <c r="I82" s="5" t="s">
        <v>28</v>
      </c>
      <c r="J82" s="5" t="s">
        <v>25</v>
      </c>
      <c r="K82" s="9" t="s">
        <v>160</v>
      </c>
    </row>
    <row r="83" ht="12.75" customHeight="1">
      <c r="A83" s="5" t="s">
        <v>154</v>
      </c>
      <c r="B83" s="5" t="s">
        <v>38</v>
      </c>
      <c r="C83" s="5" t="s">
        <v>155</v>
      </c>
      <c r="D83" s="5" t="s">
        <v>156</v>
      </c>
      <c r="E83" s="5" t="s">
        <v>39</v>
      </c>
      <c r="F83" s="5" t="s">
        <v>162</v>
      </c>
      <c r="G83" s="5" t="s">
        <v>39</v>
      </c>
      <c r="H83" s="5" t="s">
        <v>70</v>
      </c>
      <c r="I83" s="5" t="s">
        <v>28</v>
      </c>
      <c r="J83" s="5" t="s">
        <v>25</v>
      </c>
      <c r="K83" s="9" t="s">
        <v>160</v>
      </c>
    </row>
    <row r="84" ht="12.75" customHeight="1">
      <c r="A84" s="5" t="s">
        <v>154</v>
      </c>
      <c r="B84" s="5" t="s">
        <v>38</v>
      </c>
      <c r="C84" s="5" t="s">
        <v>155</v>
      </c>
      <c r="D84" s="5" t="s">
        <v>156</v>
      </c>
      <c r="E84" s="5" t="s">
        <v>166</v>
      </c>
      <c r="F84" s="5" t="s">
        <v>163</v>
      </c>
      <c r="G84" s="5" t="s">
        <v>166</v>
      </c>
      <c r="H84" s="5" t="s">
        <v>167</v>
      </c>
      <c r="I84" s="5" t="s">
        <v>28</v>
      </c>
      <c r="J84" s="5" t="s">
        <v>25</v>
      </c>
      <c r="K84" s="9" t="s">
        <v>160</v>
      </c>
    </row>
    <row r="85" ht="12.75" customHeight="1">
      <c r="A85" s="5" t="s">
        <v>154</v>
      </c>
      <c r="B85" s="5" t="s">
        <v>38</v>
      </c>
      <c r="C85" s="5" t="s">
        <v>155</v>
      </c>
      <c r="D85" s="5" t="s">
        <v>156</v>
      </c>
      <c r="E85" s="5" t="s">
        <v>157</v>
      </c>
      <c r="F85" s="5" t="s">
        <v>158</v>
      </c>
      <c r="G85" s="5" t="s">
        <v>157</v>
      </c>
      <c r="H85" s="5" t="s">
        <v>168</v>
      </c>
      <c r="I85" s="5" t="s">
        <v>28</v>
      </c>
      <c r="J85" s="5" t="s">
        <v>25</v>
      </c>
      <c r="K85" s="9" t="s">
        <v>160</v>
      </c>
    </row>
    <row r="86" ht="12.75" customHeight="1">
      <c r="A86" s="5" t="s">
        <v>169</v>
      </c>
      <c r="B86" s="5" t="s">
        <v>41</v>
      </c>
      <c r="C86" s="5" t="s">
        <v>155</v>
      </c>
      <c r="D86" s="5" t="s">
        <v>170</v>
      </c>
      <c r="E86" s="5" t="s">
        <v>25</v>
      </c>
      <c r="F86" s="5" t="s">
        <v>25</v>
      </c>
      <c r="G86" s="5" t="s">
        <v>157</v>
      </c>
      <c r="H86" s="5" t="s">
        <v>171</v>
      </c>
      <c r="I86" s="5" t="s">
        <v>28</v>
      </c>
      <c r="J86" s="5" t="s">
        <v>25</v>
      </c>
      <c r="K86" s="9" t="s">
        <v>172</v>
      </c>
    </row>
    <row r="87" ht="12.75" customHeight="1">
      <c r="A87" s="5" t="s">
        <v>169</v>
      </c>
      <c r="B87" s="5" t="s">
        <v>41</v>
      </c>
      <c r="C87" s="5" t="s">
        <v>155</v>
      </c>
      <c r="D87" s="5" t="s">
        <v>173</v>
      </c>
      <c r="E87" s="5" t="s">
        <v>25</v>
      </c>
      <c r="F87" s="5" t="s">
        <v>25</v>
      </c>
      <c r="G87" s="5" t="s">
        <v>157</v>
      </c>
      <c r="H87" s="5" t="s">
        <v>174</v>
      </c>
      <c r="I87" s="5" t="s">
        <v>28</v>
      </c>
      <c r="J87" s="5" t="s">
        <v>25</v>
      </c>
      <c r="K87" s="9" t="s">
        <v>172</v>
      </c>
    </row>
    <row r="88" ht="12.75" customHeight="1">
      <c r="A88" s="5" t="s">
        <v>175</v>
      </c>
      <c r="B88" s="5" t="s">
        <v>41</v>
      </c>
      <c r="C88" s="5" t="s">
        <v>176</v>
      </c>
      <c r="D88" s="5" t="s">
        <v>177</v>
      </c>
      <c r="E88" s="5" t="s">
        <v>25</v>
      </c>
      <c r="F88" s="5" t="s">
        <v>25</v>
      </c>
      <c r="G88" s="5" t="s">
        <v>131</v>
      </c>
      <c r="H88" s="5" t="s">
        <v>178</v>
      </c>
      <c r="I88" s="5" t="s">
        <v>28</v>
      </c>
      <c r="J88" s="5" t="s">
        <v>25</v>
      </c>
      <c r="K88" s="9" t="s">
        <v>179</v>
      </c>
    </row>
    <row r="89" ht="12.75" customHeight="1">
      <c r="A89" s="5" t="s">
        <v>175</v>
      </c>
      <c r="B89" s="5" t="s">
        <v>41</v>
      </c>
      <c r="C89" s="5" t="s">
        <v>176</v>
      </c>
      <c r="D89" s="5" t="s">
        <v>177</v>
      </c>
      <c r="E89" s="5" t="s">
        <v>25</v>
      </c>
      <c r="F89" s="5" t="s">
        <v>25</v>
      </c>
      <c r="G89" s="5" t="s">
        <v>131</v>
      </c>
      <c r="H89" s="5" t="s">
        <v>180</v>
      </c>
      <c r="I89" s="5" t="s">
        <v>28</v>
      </c>
      <c r="J89" s="5" t="s">
        <v>25</v>
      </c>
      <c r="K89" s="9" t="s">
        <v>179</v>
      </c>
    </row>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