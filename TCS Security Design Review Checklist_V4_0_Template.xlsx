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defaultThemeVersion="166925"/>
  <mc:AlternateContent xmlns:mc="http://schemas.openxmlformats.org/markup-compatibility/2006">
    <mc:Choice Requires="x15">
      <x15ac:absPath xmlns:x15ac="http://schemas.microsoft.com/office/spreadsheetml/2010/11/ac" url="https://tcscomprod.sharepoint.com/sites/RiskEdge/Shared Documents/Risk Edge/Security Assessment/"/>
    </mc:Choice>
  </mc:AlternateContent>
  <xr:revisionPtr revIDLastSave="0" documentId="8_{FFFBEE67-B810-4105-BC02-FCD0ABAE9877}" xr6:coauthVersionLast="47" xr6:coauthVersionMax="47" xr10:uidLastSave="{00000000-0000-0000-0000-000000000000}"/>
  <bookViews>
    <workbookView xWindow="-110" yWindow="-110" windowWidth="19420" windowHeight="11500" firstSheet="2" activeTab="2" xr2:uid="{538CE6BE-C191-4A65-B4FD-038DA284CFE6}"/>
  </bookViews>
  <sheets>
    <sheet name="Readme" sheetId="9" r:id="rId1"/>
    <sheet name="Asset Info" sheetId="3" r:id="rId2"/>
    <sheet name="Checklist" sheetId="7" r:id="rId3"/>
    <sheet name="Gen AI Audit Sheet" sheetId="10" r:id="rId4"/>
    <sheet name="Report" sheetId="8"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8" i="7" l="1"/>
  <c r="K99" i="7"/>
  <c r="K189" i="7"/>
  <c r="J189" i="7"/>
  <c r="J187" i="7"/>
  <c r="E186" i="7"/>
  <c r="E187" i="7"/>
  <c r="J185" i="7"/>
  <c r="E185" i="7"/>
  <c r="G185" i="7" s="1"/>
  <c r="K176" i="7"/>
  <c r="J150" i="7"/>
  <c r="E150" i="7"/>
  <c r="K133" i="7"/>
  <c r="K132" i="7"/>
  <c r="C86" i="8"/>
  <c r="J129" i="7"/>
  <c r="K129" i="7"/>
  <c r="G129" i="7"/>
  <c r="K128" i="7"/>
  <c r="E129" i="7"/>
  <c r="J128" i="7"/>
  <c r="G128" i="7"/>
  <c r="K90" i="7"/>
  <c r="J82" i="7"/>
  <c r="E65" i="7"/>
  <c r="G65" i="7"/>
  <c r="J65" i="7"/>
  <c r="K65" i="7"/>
  <c r="G61" i="7"/>
  <c r="K61" i="7"/>
  <c r="E37" i="7"/>
  <c r="J37" i="7" s="1"/>
  <c r="G27" i="7"/>
  <c r="J27" i="7"/>
  <c r="E27" i="7"/>
  <c r="D8" i="7" l="1"/>
  <c r="E196" i="7" l="1"/>
  <c r="J196" i="7" s="1"/>
  <c r="D185" i="7"/>
  <c r="C11" i="3"/>
  <c r="E101" i="7"/>
  <c r="J101" i="7" s="1"/>
  <c r="E96" i="7"/>
  <c r="J96" i="7" s="1"/>
  <c r="E91" i="7"/>
  <c r="J90" i="7"/>
  <c r="E90" i="7"/>
  <c r="J89" i="7"/>
  <c r="E89" i="7"/>
  <c r="E86" i="7"/>
  <c r="D64" i="7"/>
  <c r="J63" i="7" s="1"/>
  <c r="J61" i="7"/>
  <c r="J60" i="7"/>
  <c r="E61" i="7"/>
  <c r="E60" i="7"/>
  <c r="J59" i="7"/>
  <c r="E59" i="7"/>
  <c r="D35" i="7"/>
  <c r="D30" i="7"/>
  <c r="J30" i="7" s="1"/>
  <c r="D25" i="7"/>
  <c r="D21" i="7"/>
  <c r="E21" i="7" s="1"/>
  <c r="D19" i="7"/>
  <c r="E18" i="7" s="1"/>
  <c r="D16" i="7"/>
  <c r="E16" i="7" s="1"/>
  <c r="D14" i="7"/>
  <c r="E13" i="7" s="1"/>
  <c r="D12" i="7"/>
  <c r="E161" i="7"/>
  <c r="J161" i="7" s="1"/>
  <c r="E160" i="7"/>
  <c r="J160" i="7" s="1"/>
  <c r="J178" i="7"/>
  <c r="J172" i="7"/>
  <c r="J23" i="7"/>
  <c r="J75" i="7"/>
  <c r="J119" i="7"/>
  <c r="J133" i="7"/>
  <c r="E112" i="7"/>
  <c r="J112" i="7" s="1"/>
  <c r="E97" i="7"/>
  <c r="J97" i="7" s="1"/>
  <c r="E99" i="7"/>
  <c r="J99" i="7" s="1"/>
  <c r="J57" i="7"/>
  <c r="E57" i="7"/>
  <c r="J46" i="7"/>
  <c r="E46" i="7"/>
  <c r="G28" i="7"/>
  <c r="G76" i="7"/>
  <c r="E22" i="7" l="1"/>
  <c r="E24" i="7"/>
  <c r="E23" i="7"/>
  <c r="E25" i="7"/>
  <c r="E12" i="7"/>
  <c r="J11" i="7"/>
  <c r="E15" i="7"/>
  <c r="E11" i="7"/>
  <c r="E20" i="7"/>
  <c r="J20" i="7"/>
  <c r="E35" i="7"/>
  <c r="E34" i="7"/>
  <c r="J13" i="7"/>
  <c r="J18" i="7"/>
  <c r="E64" i="7"/>
  <c r="E14" i="7"/>
  <c r="E19" i="7"/>
  <c r="E63" i="7"/>
  <c r="G34" i="7"/>
  <c r="J52" i="7"/>
  <c r="J51" i="7"/>
  <c r="J50" i="7"/>
  <c r="G30" i="7"/>
  <c r="E30" i="7"/>
  <c r="K25" i="7"/>
  <c r="E26" i="7"/>
  <c r="B1" i="8" l="1"/>
  <c r="D44" i="7" l="1"/>
  <c r="D9" i="7"/>
  <c r="E9" i="7" s="1"/>
  <c r="C31" i="8"/>
  <c r="J182" i="7"/>
  <c r="C126" i="8" s="1"/>
  <c r="C57" i="8"/>
  <c r="K182" i="7"/>
  <c r="K167" i="7"/>
  <c r="K165" i="7"/>
  <c r="K159" i="7"/>
  <c r="K151" i="7"/>
  <c r="K94" i="7"/>
  <c r="K83" i="7"/>
  <c r="K64" i="7"/>
  <c r="K53" i="7"/>
  <c r="K45" i="7"/>
  <c r="K35" i="7"/>
  <c r="K29" i="7"/>
  <c r="K21" i="7"/>
  <c r="K19" i="7"/>
  <c r="K194" i="7"/>
  <c r="K195" i="7"/>
  <c r="K196" i="7"/>
  <c r="K193" i="7"/>
  <c r="K191" i="7"/>
  <c r="K188" i="7"/>
  <c r="K181" i="7"/>
  <c r="K183" i="7"/>
  <c r="K184" i="7"/>
  <c r="K185" i="7"/>
  <c r="K186" i="7"/>
  <c r="K180" i="7"/>
  <c r="K178" i="7"/>
  <c r="K177" i="7"/>
  <c r="K170" i="7"/>
  <c r="K171" i="7"/>
  <c r="K172" i="7"/>
  <c r="K173" i="7"/>
  <c r="K174" i="7"/>
  <c r="K175" i="7"/>
  <c r="K169" i="7"/>
  <c r="K166" i="7"/>
  <c r="K164" i="7"/>
  <c r="K163" i="7"/>
  <c r="K160" i="7"/>
  <c r="K141" i="7"/>
  <c r="K142" i="7"/>
  <c r="K143" i="7"/>
  <c r="K144" i="7"/>
  <c r="K145" i="7"/>
  <c r="K146" i="7"/>
  <c r="K147" i="7"/>
  <c r="K148" i="7"/>
  <c r="K149" i="7"/>
  <c r="K150" i="7"/>
  <c r="K152" i="7"/>
  <c r="K153" i="7"/>
  <c r="K154" i="7"/>
  <c r="K155" i="7"/>
  <c r="K140" i="7"/>
  <c r="K135" i="7"/>
  <c r="K136" i="7"/>
  <c r="K137" i="7"/>
  <c r="K138" i="7"/>
  <c r="K134" i="7"/>
  <c r="K127" i="7"/>
  <c r="K130" i="7"/>
  <c r="K131" i="7"/>
  <c r="K126" i="7"/>
  <c r="K117" i="7"/>
  <c r="K118" i="7"/>
  <c r="K119" i="7"/>
  <c r="K120" i="7"/>
  <c r="K121" i="7"/>
  <c r="K122" i="7"/>
  <c r="K123" i="7"/>
  <c r="K124" i="7"/>
  <c r="K116" i="7"/>
  <c r="K109" i="7"/>
  <c r="K110" i="7"/>
  <c r="K111" i="7"/>
  <c r="K112" i="7"/>
  <c r="K104" i="7"/>
  <c r="K105" i="7"/>
  <c r="K106" i="7"/>
  <c r="K107" i="7"/>
  <c r="K103" i="7"/>
  <c r="K98" i="7"/>
  <c r="K100" i="7"/>
  <c r="K101" i="7"/>
  <c r="K96" i="7"/>
  <c r="K97" i="7"/>
  <c r="K95" i="7"/>
  <c r="K91" i="7"/>
  <c r="K87" i="7"/>
  <c r="K88" i="7"/>
  <c r="K89" i="7"/>
  <c r="K86" i="7"/>
  <c r="K81" i="7"/>
  <c r="K82" i="7"/>
  <c r="K84" i="7"/>
  <c r="J80" i="7"/>
  <c r="K80" i="7"/>
  <c r="K76" i="7"/>
  <c r="K77" i="7"/>
  <c r="K78" i="7"/>
  <c r="C47" i="8"/>
  <c r="K75" i="7"/>
  <c r="K71" i="7"/>
  <c r="K72" i="7"/>
  <c r="K73" i="7"/>
  <c r="K70" i="7"/>
  <c r="K66" i="7"/>
  <c r="K67" i="7"/>
  <c r="K68" i="7"/>
  <c r="K63" i="7"/>
  <c r="K62" i="7"/>
  <c r="K60" i="7"/>
  <c r="K59" i="7"/>
  <c r="K56" i="7"/>
  <c r="K57" i="7"/>
  <c r="K55" i="7"/>
  <c r="K54" i="7"/>
  <c r="K50" i="7"/>
  <c r="K51" i="7"/>
  <c r="K52" i="7"/>
  <c r="K49" i="7"/>
  <c r="K48" i="7"/>
  <c r="K46" i="7"/>
  <c r="K41" i="7"/>
  <c r="K42" i="7"/>
  <c r="K43" i="7"/>
  <c r="K40" i="7"/>
  <c r="K38" i="7"/>
  <c r="K36" i="7"/>
  <c r="K28" i="7"/>
  <c r="K26" i="7"/>
  <c r="K20" i="7"/>
  <c r="K18" i="7"/>
  <c r="K17" i="7"/>
  <c r="K15" i="7"/>
  <c r="K13" i="7"/>
  <c r="K11" i="7"/>
  <c r="K10" i="7"/>
  <c r="K9" i="7"/>
  <c r="K8" i="7"/>
  <c r="K7" i="7"/>
  <c r="K14" i="7"/>
  <c r="K16" i="7"/>
  <c r="K12" i="7"/>
  <c r="K6" i="7"/>
  <c r="J193" i="7"/>
  <c r="C134" i="8" s="1"/>
  <c r="J194" i="7"/>
  <c r="C135" i="8" s="1"/>
  <c r="C137" i="8"/>
  <c r="J191" i="7"/>
  <c r="J190" i="7"/>
  <c r="C132" i="8" s="1"/>
  <c r="C131" i="8"/>
  <c r="J188" i="7"/>
  <c r="J186" i="7"/>
  <c r="J183" i="7"/>
  <c r="C127" i="8" s="1"/>
  <c r="J184" i="7"/>
  <c r="C128" i="8" s="1"/>
  <c r="C129" i="8"/>
  <c r="J181" i="7"/>
  <c r="C125" i="8" s="1"/>
  <c r="J180" i="7"/>
  <c r="C124" i="8" s="1"/>
  <c r="C123" i="8"/>
  <c r="G196" i="7"/>
  <c r="G195" i="7"/>
  <c r="E195" i="7"/>
  <c r="J195" i="7" s="1"/>
  <c r="C136" i="8" s="1"/>
  <c r="E192" i="7"/>
  <c r="J192" i="7" s="1"/>
  <c r="C133" i="8" s="1"/>
  <c r="G194" i="7"/>
  <c r="G193" i="7"/>
  <c r="G192" i="7"/>
  <c r="G191" i="7"/>
  <c r="G190" i="7"/>
  <c r="E191" i="7"/>
  <c r="G189" i="7"/>
  <c r="G188" i="7"/>
  <c r="G187" i="7"/>
  <c r="E188" i="7"/>
  <c r="G186" i="7"/>
  <c r="K44" i="7"/>
  <c r="G184" i="7"/>
  <c r="G183" i="7"/>
  <c r="G182" i="7"/>
  <c r="G181" i="7"/>
  <c r="G180" i="7"/>
  <c r="J170" i="7"/>
  <c r="C116" i="8" s="1"/>
  <c r="J171" i="7"/>
  <c r="C117" i="8" s="1"/>
  <c r="C118" i="8"/>
  <c r="J173" i="7"/>
  <c r="C119" i="8" s="1"/>
  <c r="J174" i="7"/>
  <c r="C120" i="8" s="1"/>
  <c r="J175" i="7"/>
  <c r="C121" i="8" s="1"/>
  <c r="J169" i="7"/>
  <c r="C115" i="8" s="1"/>
  <c r="C111" i="8"/>
  <c r="J177" i="7"/>
  <c r="J176" i="7"/>
  <c r="C122" i="8" s="1"/>
  <c r="G178" i="7"/>
  <c r="G177" i="7"/>
  <c r="E177" i="7"/>
  <c r="G176" i="7"/>
  <c r="G175" i="7"/>
  <c r="G174" i="7"/>
  <c r="G173" i="7"/>
  <c r="G172" i="7"/>
  <c r="G171" i="7"/>
  <c r="G170" i="7"/>
  <c r="G169" i="7"/>
  <c r="E167" i="7"/>
  <c r="E166" i="7"/>
  <c r="J166" i="7" s="1"/>
  <c r="C114" i="8" s="1"/>
  <c r="E165" i="7"/>
  <c r="E164" i="7"/>
  <c r="J164" i="7" s="1"/>
  <c r="C113" i="8" s="1"/>
  <c r="G166" i="7"/>
  <c r="G164" i="7"/>
  <c r="G163" i="7"/>
  <c r="G162" i="7"/>
  <c r="G161" i="7"/>
  <c r="J163" i="7"/>
  <c r="J162" i="7" s="1"/>
  <c r="C112" i="8" s="1"/>
  <c r="E163" i="7"/>
  <c r="E162" i="7"/>
  <c r="G160" i="7"/>
  <c r="J158" i="7"/>
  <c r="G158" i="7"/>
  <c r="J157" i="7"/>
  <c r="C110" i="8" s="1"/>
  <c r="G157" i="7"/>
  <c r="E159" i="7"/>
  <c r="E158" i="7"/>
  <c r="J154" i="7"/>
  <c r="C108" i="8" s="1"/>
  <c r="J155" i="7"/>
  <c r="C109" i="8" s="1"/>
  <c r="J152" i="7"/>
  <c r="C106" i="8" s="1"/>
  <c r="J141" i="7"/>
  <c r="C96" i="8" s="1"/>
  <c r="J142" i="7"/>
  <c r="C97" i="8" s="1"/>
  <c r="J143" i="7"/>
  <c r="C98" i="8" s="1"/>
  <c r="J144" i="7"/>
  <c r="C99" i="8" s="1"/>
  <c r="J145" i="7"/>
  <c r="C100" i="8" s="1"/>
  <c r="J146" i="7"/>
  <c r="C101" i="8" s="1"/>
  <c r="J147" i="7"/>
  <c r="C102" i="8" s="1"/>
  <c r="J148" i="7"/>
  <c r="C103" i="8" s="1"/>
  <c r="J149" i="7"/>
  <c r="C104" i="8" s="1"/>
  <c r="C105" i="8"/>
  <c r="J140" i="7"/>
  <c r="C95" i="8" s="1"/>
  <c r="G155" i="7"/>
  <c r="G154" i="7"/>
  <c r="G153" i="7"/>
  <c r="G152" i="7"/>
  <c r="G150" i="7"/>
  <c r="G149" i="7"/>
  <c r="G148" i="7"/>
  <c r="G147" i="7"/>
  <c r="G146" i="7"/>
  <c r="G145" i="7"/>
  <c r="G144" i="7"/>
  <c r="G143" i="7"/>
  <c r="G142" i="7"/>
  <c r="G141" i="7"/>
  <c r="G140" i="7"/>
  <c r="E151" i="7"/>
  <c r="E153" i="7"/>
  <c r="J153" i="7" s="1"/>
  <c r="C107" i="8" s="1"/>
  <c r="J136" i="7"/>
  <c r="C92" i="8" s="1"/>
  <c r="J137" i="7"/>
  <c r="C93" i="8" s="1"/>
  <c r="J135" i="7"/>
  <c r="C91" i="8" s="1"/>
  <c r="J134" i="7"/>
  <c r="C90" i="8" s="1"/>
  <c r="J127" i="7"/>
  <c r="C85" i="8" s="1"/>
  <c r="J130" i="7"/>
  <c r="C87" i="8" s="1"/>
  <c r="J131" i="7"/>
  <c r="C88" i="8" s="1"/>
  <c r="J126" i="7"/>
  <c r="C84" i="8" s="1"/>
  <c r="E138" i="7"/>
  <c r="J138" i="7" s="1"/>
  <c r="C94" i="8" s="1"/>
  <c r="G138" i="7"/>
  <c r="G137" i="7"/>
  <c r="G136" i="7"/>
  <c r="G135" i="7"/>
  <c r="G134" i="7"/>
  <c r="G133" i="7"/>
  <c r="J132" i="7"/>
  <c r="C89" i="8" s="1"/>
  <c r="G132" i="7"/>
  <c r="G131" i="7"/>
  <c r="G130" i="7"/>
  <c r="G127" i="7"/>
  <c r="G126" i="7"/>
  <c r="E134" i="7"/>
  <c r="G124" i="7"/>
  <c r="G123" i="7"/>
  <c r="G122" i="7"/>
  <c r="G121" i="7"/>
  <c r="G120" i="7"/>
  <c r="G119" i="7"/>
  <c r="G118" i="7"/>
  <c r="J123" i="7"/>
  <c r="C82" i="8" s="1"/>
  <c r="J124" i="7"/>
  <c r="C83" i="8" s="1"/>
  <c r="C78" i="8"/>
  <c r="J120" i="7"/>
  <c r="C79" i="8" s="1"/>
  <c r="J121" i="7"/>
  <c r="C80" i="8" s="1"/>
  <c r="J122" i="7"/>
  <c r="C81" i="8" s="1"/>
  <c r="J118" i="7"/>
  <c r="C77" i="8" s="1"/>
  <c r="E117" i="7"/>
  <c r="J117" i="7" s="1"/>
  <c r="E116" i="7"/>
  <c r="J116" i="7"/>
  <c r="J115" i="7"/>
  <c r="J114" i="7"/>
  <c r="G117" i="7"/>
  <c r="G116" i="7"/>
  <c r="G115" i="7"/>
  <c r="G114" i="7"/>
  <c r="E115" i="7"/>
  <c r="G112" i="7"/>
  <c r="G111" i="7"/>
  <c r="G110" i="7"/>
  <c r="G109" i="7"/>
  <c r="J108" i="7"/>
  <c r="C70" i="8" s="1"/>
  <c r="G108" i="7"/>
  <c r="G107" i="7"/>
  <c r="G106" i="7"/>
  <c r="G105" i="7"/>
  <c r="G104" i="7"/>
  <c r="J105" i="7"/>
  <c r="C67" i="8" s="1"/>
  <c r="J106" i="7"/>
  <c r="C68" i="8" s="1"/>
  <c r="J107" i="7"/>
  <c r="C69" i="8" s="1"/>
  <c r="J109" i="7"/>
  <c r="C71" i="8" s="1"/>
  <c r="J110" i="7"/>
  <c r="C72" i="8" s="1"/>
  <c r="J111" i="7"/>
  <c r="C73" i="8" s="1"/>
  <c r="C74" i="8"/>
  <c r="J104" i="7"/>
  <c r="C66" i="8" s="1"/>
  <c r="J103" i="7"/>
  <c r="C65" i="8" s="1"/>
  <c r="G103" i="7"/>
  <c r="G100" i="7"/>
  <c r="G99" i="7"/>
  <c r="G98" i="7"/>
  <c r="E100" i="7"/>
  <c r="J100" i="7" s="1"/>
  <c r="C63" i="8" s="1"/>
  <c r="E98" i="7"/>
  <c r="J98" i="7" s="1"/>
  <c r="C61" i="8" s="1"/>
  <c r="E73" i="7"/>
  <c r="J73" i="7" s="1"/>
  <c r="C46" i="8" s="1"/>
  <c r="G23" i="7"/>
  <c r="G101" i="7"/>
  <c r="C64" i="8"/>
  <c r="C62" i="8"/>
  <c r="G97" i="7"/>
  <c r="C60" i="8"/>
  <c r="G96" i="7"/>
  <c r="C59" i="8"/>
  <c r="G92" i="7"/>
  <c r="J95" i="7"/>
  <c r="J92" i="7"/>
  <c r="G93" i="7"/>
  <c r="G91" i="7"/>
  <c r="E95" i="7"/>
  <c r="E94" i="7"/>
  <c r="J93" i="7"/>
  <c r="E93" i="7"/>
  <c r="E92" i="7"/>
  <c r="G90" i="7"/>
  <c r="G89" i="7"/>
  <c r="C56" i="8"/>
  <c r="G88" i="7"/>
  <c r="G87" i="7"/>
  <c r="G86" i="7"/>
  <c r="J88" i="7"/>
  <c r="J87" i="7" s="1"/>
  <c r="E88" i="7"/>
  <c r="E87" i="7"/>
  <c r="G84" i="7"/>
  <c r="J84" i="7"/>
  <c r="C54" i="8" s="1"/>
  <c r="G82" i="7"/>
  <c r="E83" i="7"/>
  <c r="C53" i="8"/>
  <c r="E82" i="7"/>
  <c r="G81" i="7"/>
  <c r="J81" i="7"/>
  <c r="C52" i="8" s="1"/>
  <c r="J79" i="7"/>
  <c r="C51" i="8" s="1"/>
  <c r="G80" i="7"/>
  <c r="G79" i="7"/>
  <c r="E80" i="7"/>
  <c r="E79" i="7"/>
  <c r="G78" i="7"/>
  <c r="G77" i="7"/>
  <c r="G75" i="7"/>
  <c r="J76" i="7"/>
  <c r="C48" i="8" s="1"/>
  <c r="J77" i="7"/>
  <c r="C49" i="8" s="1"/>
  <c r="J78" i="7"/>
  <c r="C50" i="8" s="1"/>
  <c r="G73" i="7"/>
  <c r="G72" i="7"/>
  <c r="G71" i="7"/>
  <c r="J72" i="7"/>
  <c r="C45" i="8" s="1"/>
  <c r="J71" i="7"/>
  <c r="C44" i="8" s="1"/>
  <c r="G70" i="7"/>
  <c r="G69" i="7"/>
  <c r="J70" i="7"/>
  <c r="J69" i="7" s="1"/>
  <c r="C43" i="8" s="1"/>
  <c r="E70" i="7"/>
  <c r="E69" i="7"/>
  <c r="G68" i="7"/>
  <c r="E68" i="7"/>
  <c r="J68" i="7" s="1"/>
  <c r="C42" i="8" s="1"/>
  <c r="G67" i="7"/>
  <c r="G66" i="7"/>
  <c r="J66" i="7"/>
  <c r="C40" i="8" s="1"/>
  <c r="J67" i="7"/>
  <c r="C41" i="8" s="1"/>
  <c r="C39" i="8"/>
  <c r="C38" i="8"/>
  <c r="G63" i="7"/>
  <c r="G62" i="7"/>
  <c r="J62" i="7"/>
  <c r="E62" i="7"/>
  <c r="C37" i="8"/>
  <c r="G60" i="7"/>
  <c r="C36" i="8"/>
  <c r="G59" i="7"/>
  <c r="C35" i="8"/>
  <c r="G57" i="7"/>
  <c r="C34" i="8"/>
  <c r="G56" i="7"/>
  <c r="J56" i="7"/>
  <c r="C33" i="8" s="1"/>
  <c r="G55" i="7"/>
  <c r="G54" i="7"/>
  <c r="J55" i="7"/>
  <c r="J54" i="7" s="1"/>
  <c r="C32" i="8" s="1"/>
  <c r="E55" i="7"/>
  <c r="E54" i="7"/>
  <c r="E53" i="7"/>
  <c r="E52" i="7"/>
  <c r="E51" i="7"/>
  <c r="E50" i="7"/>
  <c r="G52" i="7"/>
  <c r="G51" i="7"/>
  <c r="G50" i="7"/>
  <c r="G49" i="7"/>
  <c r="J49" i="7"/>
  <c r="C30" i="8" s="1"/>
  <c r="G48" i="7"/>
  <c r="G47" i="7"/>
  <c r="J48" i="7"/>
  <c r="E48" i="7"/>
  <c r="J47" i="7"/>
  <c r="C29" i="8" s="1"/>
  <c r="E47" i="7"/>
  <c r="G46" i="7"/>
  <c r="C28" i="8"/>
  <c r="G44" i="7"/>
  <c r="J44" i="7" s="1"/>
  <c r="C27" i="8" s="1"/>
  <c r="D45" i="3"/>
  <c r="G43" i="7"/>
  <c r="G42" i="7"/>
  <c r="G41" i="7"/>
  <c r="J41" i="7"/>
  <c r="C24" i="8" s="1"/>
  <c r="J42" i="7"/>
  <c r="C25" i="8" s="1"/>
  <c r="J43" i="7"/>
  <c r="C26" i="8" s="1"/>
  <c r="J40" i="7"/>
  <c r="C23" i="8" s="1"/>
  <c r="G40" i="7"/>
  <c r="G38" i="7"/>
  <c r="G37" i="7"/>
  <c r="J38" i="7"/>
  <c r="C22" i="8" s="1"/>
  <c r="E38" i="7"/>
  <c r="G36" i="7"/>
  <c r="J36" i="7"/>
  <c r="J34" i="7" s="1"/>
  <c r="C21" i="8" s="1"/>
  <c r="E36" i="7"/>
  <c r="J31" i="7"/>
  <c r="J33" i="7"/>
  <c r="J32" i="7" s="1"/>
  <c r="C20" i="8" s="1"/>
  <c r="G33" i="7"/>
  <c r="E33" i="7"/>
  <c r="G31" i="7"/>
  <c r="E32" i="7"/>
  <c r="E31" i="7"/>
  <c r="G20" i="7"/>
  <c r="E29" i="7"/>
  <c r="J28" i="7"/>
  <c r="C19" i="8" s="1"/>
  <c r="E28" i="7"/>
  <c r="G26" i="7"/>
  <c r="J26" i="7"/>
  <c r="J22" i="7" s="1"/>
  <c r="C18" i="8" s="1"/>
  <c r="C17" i="8"/>
  <c r="G18" i="7"/>
  <c r="C16" i="8"/>
  <c r="J17" i="7"/>
  <c r="G17" i="7"/>
  <c r="G15" i="7"/>
  <c r="G11" i="7"/>
  <c r="E17" i="7"/>
  <c r="C14" i="8"/>
  <c r="G13" i="7"/>
  <c r="C13" i="8"/>
  <c r="J10" i="7"/>
  <c r="J8" i="7"/>
  <c r="J7" i="7" s="1"/>
  <c r="J5" i="7" s="1"/>
  <c r="J4" i="7"/>
  <c r="J3" i="7"/>
  <c r="G9" i="7"/>
  <c r="G10" i="7"/>
  <c r="E10" i="7"/>
  <c r="G8" i="7"/>
  <c r="G7" i="7"/>
  <c r="E8" i="7"/>
  <c r="E7" i="7"/>
  <c r="G4" i="7"/>
  <c r="G3" i="7"/>
  <c r="E6" i="7"/>
  <c r="E5" i="7"/>
  <c r="E4" i="7"/>
  <c r="E3" i="7"/>
  <c r="J91" i="7" l="1"/>
  <c r="C58" i="8" s="1"/>
  <c r="C130" i="8"/>
  <c r="C75" i="8"/>
  <c r="J15" i="7"/>
  <c r="C15" i="8" s="1"/>
  <c r="J86" i="7"/>
  <c r="C55" i="8" s="1"/>
  <c r="C76" i="8"/>
  <c r="C11" i="8"/>
  <c r="J9" i="7"/>
  <c r="C12" i="8" s="1"/>
  <c r="B2" i="8" l="1"/>
  <c r="B8" i="8"/>
  <c r="B7" i="8"/>
  <c r="B6" i="8" l="1"/>
</calcChain>
</file>

<file path=xl/sharedStrings.xml><?xml version="1.0" encoding="utf-8"?>
<sst xmlns="http://schemas.openxmlformats.org/spreadsheetml/2006/main" count="941" uniqueCount="584">
  <si>
    <t>Document History</t>
  </si>
  <si>
    <t>Name of the Artifact</t>
  </si>
  <si>
    <t>TCS Security Design Review Checklist</t>
  </si>
  <si>
    <t>Version</t>
  </si>
  <si>
    <t>4.0</t>
  </si>
  <si>
    <t>Release Date</t>
  </si>
  <si>
    <t>Revision History</t>
  </si>
  <si>
    <t>Date</t>
  </si>
  <si>
    <t>Release No.</t>
  </si>
  <si>
    <t>Remarks</t>
  </si>
  <si>
    <t>1.0</t>
  </si>
  <si>
    <t>Formal Release of the document</t>
  </si>
  <si>
    <t>2.0</t>
  </si>
  <si>
    <t>Objective based questions for the security quality characteristics.</t>
  </si>
  <si>
    <t>3.0</t>
  </si>
  <si>
    <t>Added internet and intranet facing option under Asset Info tab and added the relevant changes in the checklist and report tab.</t>
  </si>
  <si>
    <t>Added Gen AI security design guidelines</t>
  </si>
  <si>
    <t xml:space="preserve">© Copyright [2023], Tata Consultancy Services Limited. All Rights Reserved.
Document ID CGKD009336
Unauthorized access, copying, replication, distribution, transmission, modification, adaptation or translation or use without express written permission is prohibited.  </t>
  </si>
  <si>
    <t>Usage Guidelines</t>
  </si>
  <si>
    <r>
      <rPr>
        <sz val="11"/>
        <color rgb="FFE41165"/>
        <rFont val="Calibri"/>
        <family val="2"/>
      </rPr>
      <t xml:space="preserve">•  </t>
    </r>
    <r>
      <rPr>
        <sz val="11"/>
        <color theme="1"/>
        <rFont val="Calibri"/>
        <family val="2"/>
      </rPr>
      <t>Asset details to be filled by the asset team in the Asset Info sheet. Answer the questions related to the asset in the Contextual Questions table.
• Checklist sheet consists of all the line items that need to be addressed and the report sheet comprises the overall review report including the approval status.
•The Applicability column in the Checklist sheet shows whether that particular line item is applicable or not; if it is 'Yes', then the asset team needs to select an appropriate Option (column F) from the drop down and if it is 'No' or if a row is grayed out it is not applicable and thus, need not be answered. 
•If the asset team selects the Option 'Yes' for any line item where Security Checkpoints is 'Others' or selects the Option 'No' for any line item that recommends something, they have to enter their comments mandatorily in the respective column; else the comments are optional.
•If the asset team wants to reset the value in the Options column, they can simply delete the content in the options column.
•Auto Approval column indicates whether that particular line item is eligible for auto approval or not. Y-indicates the line item is auto-approved and N not auto-approved.
• Document Naming Convention: &lt;TiparID of the asset&gt;_Security_Design_Review_checklist.xlsx</t>
    </r>
  </si>
  <si>
    <t>Asset TIPAR ID</t>
  </si>
  <si>
    <t>Tipar-ID</t>
  </si>
  <si>
    <t>Asset Information</t>
  </si>
  <si>
    <t>Asset Name &amp; Version</t>
  </si>
  <si>
    <t>Contextual Questions</t>
  </si>
  <si>
    <t>Technology used</t>
  </si>
  <si>
    <t>Internet/Intranet facing</t>
  </si>
  <si>
    <t>Is it a multi-role application?</t>
  </si>
  <si>
    <t>Is the application dealing with Gen AI ?</t>
  </si>
  <si>
    <t>No</t>
  </si>
  <si>
    <t>Authentication and Password Management</t>
  </si>
  <si>
    <t xml:space="preserve">NFR </t>
  </si>
  <si>
    <t>Category</t>
  </si>
  <si>
    <t>Radio Options</t>
  </si>
  <si>
    <t>Security Checkpoints</t>
  </si>
  <si>
    <t>Applicability</t>
  </si>
  <si>
    <t>Option</t>
  </si>
  <si>
    <t>Application Team comments</t>
  </si>
  <si>
    <t>Reviewer Comments</t>
  </si>
  <si>
    <t>Auto Approval</t>
  </si>
  <si>
    <t>Conditional Warnings</t>
  </si>
  <si>
    <t>Strong Password Policy</t>
  </si>
  <si>
    <r>
      <t>Does the application connect</t>
    </r>
    <r>
      <rPr>
        <strike/>
        <sz val="9"/>
        <color theme="1"/>
        <rFont val="Calibri"/>
        <family val="2"/>
        <scheme val="minor"/>
      </rPr>
      <t>s</t>
    </r>
    <r>
      <rPr>
        <sz val="9"/>
        <color theme="1"/>
        <rFont val="Calibri"/>
        <family val="2"/>
        <scheme val="minor"/>
      </rPr>
      <t xml:space="preserve"> to customer SSO/LDAP/Identity &amp; Access Management?</t>
    </r>
  </si>
  <si>
    <t>Is the application only a desktop application or a backend application and available as services without user authentication?</t>
  </si>
  <si>
    <t>Has a strong password policy been implemented depending on the business requirements?</t>
  </si>
  <si>
    <t>Others</t>
  </si>
  <si>
    <t>N</t>
  </si>
  <si>
    <t>Is the password policy configurable?</t>
  </si>
  <si>
    <t>3.1.1</t>
  </si>
  <si>
    <t>Secure storage of credentials</t>
  </si>
  <si>
    <r>
      <t>Does the application use</t>
    </r>
    <r>
      <rPr>
        <strike/>
        <sz val="9"/>
        <color theme="1"/>
        <rFont val="Calibri"/>
        <family val="2"/>
        <scheme val="minor"/>
      </rPr>
      <t>s</t>
    </r>
    <r>
      <rPr>
        <sz val="9"/>
        <color theme="1"/>
        <rFont val="Calibri"/>
        <family val="2"/>
        <scheme val="minor"/>
      </rPr>
      <t xml:space="preserve"> slow hashing algorithms like scrypt/bcrypt/PBKDF2WithHMACSHA256/PBKDF2WithHMACSHA512/Argon2id?</t>
    </r>
  </si>
  <si>
    <t>Unique Id for each user</t>
  </si>
  <si>
    <t>Does each user have a unique ID?</t>
  </si>
  <si>
    <t>Unique token for new session</t>
  </si>
  <si>
    <t>On every successful Authentication event of the user or service, is a new session token generated and any old session associated with the same user or service invalidated?</t>
  </si>
  <si>
    <t>Logout</t>
  </si>
  <si>
    <t>Does the application inform the user on logging out and seek confirmation to logout the user on clicking Logout button?</t>
  </si>
  <si>
    <t>Is the session token invalidated on logout?</t>
  </si>
  <si>
    <t>Password management event logging</t>
  </si>
  <si>
    <t>Does every password change/reset event generate an audit trail that contains parameters such as Date &amp; Time, User ID &amp; Success or Failure status?</t>
  </si>
  <si>
    <t>Encrypted communication for secrets in transit</t>
  </si>
  <si>
    <t>Is the authentication token or secret protected by using encryption and secure communication channels like HTTPS?</t>
  </si>
  <si>
    <t>Secure password recovery</t>
  </si>
  <si>
    <t>Is the user prompted to enter Security/Secret question and answer?</t>
  </si>
  <si>
    <t>Is the password reset link shared with users through mail to set their own password?</t>
  </si>
  <si>
    <t>Does admin reset the password?</t>
  </si>
  <si>
    <t>Is OTP validation implemented?</t>
  </si>
  <si>
    <t>Is the admin shared password forced to change on first login?</t>
  </si>
  <si>
    <t>Latest version of TLS used for communication</t>
  </si>
  <si>
    <t>Is TLSv1.2 or above used for secure communication?</t>
  </si>
  <si>
    <t>Anti-automation controls</t>
  </si>
  <si>
    <t>Are third-party or standard CAPTCHA libraries used?</t>
  </si>
  <si>
    <t>Is custom code used for CAPTCHA?</t>
  </si>
  <si>
    <t>1.2.1</t>
  </si>
  <si>
    <t>Is CAPTCHA generation logic available on the server side?</t>
  </si>
  <si>
    <t>Multifactor authentication for sensitive transactions</t>
  </si>
  <si>
    <t>Does the application involve sensitive transactions (like changing the shipping address for a purchase, or delegation of duties etc)?</t>
  </si>
  <si>
    <t>Is the user re-authenticated or verified through Profile Passwords or OTP mechanism?</t>
  </si>
  <si>
    <t>IP based restriction for critical functionality</t>
  </si>
  <si>
    <t>Does the application have critical functionalities like admin setting certain role entitlements or payment configuration etc?</t>
  </si>
  <si>
    <t>Is IP based restriction enabled for accessing such functionality?</t>
  </si>
  <si>
    <t>Audit trails and logging</t>
  </si>
  <si>
    <t>Clock synchronization for all devices and servers.</t>
  </si>
  <si>
    <t>Does the application have the time synchronised with NTP, other applications and systems?</t>
  </si>
  <si>
    <t>Yes</t>
  </si>
  <si>
    <t>Capture at least source IP address, timestamp, action owner Id, event Id and resource Id.</t>
  </si>
  <si>
    <t>Are the source IP address, timestamp, action owner ID, event ID, and resource ID captured in the logs?</t>
  </si>
  <si>
    <t>Differentiate events from errors.</t>
  </si>
  <si>
    <t>Does the application differentiate events from errors?</t>
  </si>
  <si>
    <t>Append only mode for trails and logs.</t>
  </si>
  <si>
    <t>Are audit trails and logs configured with append only mode?</t>
  </si>
  <si>
    <t>Use the standard APIs or libraries for logging.</t>
  </si>
  <si>
    <t>Maintain audit-trail for administrative actions separately</t>
  </si>
  <si>
    <t>Is a seperate audit trail maintained for administrative actions?</t>
  </si>
  <si>
    <t>Log sensitive information in encrypted format.</t>
  </si>
  <si>
    <t>Is sensitive information logged?</t>
  </si>
  <si>
    <t>Is the sensitive information logged in an encrypted format?</t>
  </si>
  <si>
    <t>Plan sufficient disk space for logs.</t>
  </si>
  <si>
    <t>Is the disk space managed (through periodic backup of log) so that adequate space is available for logging?</t>
  </si>
  <si>
    <t>Appropriately select logging strategy based on date, user or events.</t>
  </si>
  <si>
    <t>Is date-wise logging strategy followed?</t>
  </si>
  <si>
    <t>Is user-wise logging strategy followed?</t>
  </si>
  <si>
    <t>Is event-wise logging strategy followed?</t>
  </si>
  <si>
    <t>Periodically analyze logs for anomaly or misbehavior</t>
  </si>
  <si>
    <t>Are logs analyzed periodically for anomalies or misbehaviours?</t>
  </si>
  <si>
    <t>Is it done through an automated program?</t>
  </si>
  <si>
    <t>Have restricted access for logs.</t>
  </si>
  <si>
    <t>Is access to logs restricted to support team or admin team?</t>
  </si>
  <si>
    <t>Encrypt admin audit-trail and protect it from admin.</t>
  </si>
  <si>
    <t>Is the admin audit-trail encrypted and protected from the admin?</t>
  </si>
  <si>
    <t>Access control</t>
  </si>
  <si>
    <t>Validate each request for authorization</t>
  </si>
  <si>
    <t>Is every request checked for authorization before accessing a page?</t>
  </si>
  <si>
    <t>Always rely on Server Side data for access control decisions</t>
  </si>
  <si>
    <t>Are access control decisions always based on server side data?</t>
  </si>
  <si>
    <t>Offer minimal functionality to anonymous users</t>
  </si>
  <si>
    <t>Does the application have any anonymous users?</t>
  </si>
  <si>
    <t>Does the application offer minimal functionality to the anonymous users?</t>
  </si>
  <si>
    <t>Create centralized access control system through ACL</t>
  </si>
  <si>
    <t>Does the application have centralized access control system through ACL?</t>
  </si>
  <si>
    <t>Provide no privileges to an account when it is first created</t>
  </si>
  <si>
    <t>Are privileges provided incrementally after creating the user intitially with zero privileges?</t>
  </si>
  <si>
    <t>Classify data to perform Encryption, Hashing, Encoding or Masking</t>
  </si>
  <si>
    <t>Does the application classify the data and perform Encryption/Hashing/Encoding or Masking on respective requirements for the data at rest and in transit?</t>
  </si>
  <si>
    <t>Restrict a normal user's access to system resources</t>
  </si>
  <si>
    <t>Are the system resources restricted from normal users and is based on the need?</t>
  </si>
  <si>
    <t>Maintain Audit Trails for sensitive Transactions</t>
  </si>
  <si>
    <t>Are audit trails maintained for sensitive transactions?</t>
  </si>
  <si>
    <t>Generate sensitive content on the fly</t>
  </si>
  <si>
    <t>Does the application generate any sensitive content like OTP or payment transaction ID etc?</t>
  </si>
  <si>
    <t>Are the sensitive content generated on the fly and transmitted directly to the browser rather than saving it in the web server's file system?</t>
  </si>
  <si>
    <t>Implement Operational controls securely</t>
  </si>
  <si>
    <t>Are the operational controls implemented securely?</t>
  </si>
  <si>
    <t>Implement alerts and warnings for anomalies &amp; misbehavior</t>
  </si>
  <si>
    <t>Are alerts and warnings implemented for anomalies &amp; misbehaviour?</t>
  </si>
  <si>
    <t>Generate unique transaction ids for sensitive transactions</t>
  </si>
  <si>
    <t>Are unique transaction IDs generated for sensitive transactions?</t>
  </si>
  <si>
    <t>Verification and validation</t>
  </si>
  <si>
    <t>Do not rely/trust on any inputs from user, service or API</t>
  </si>
  <si>
    <t>Are the inputs from user, service or API used only after validating the input data?</t>
  </si>
  <si>
    <t>Use whitelisting over blacklisting</t>
  </si>
  <si>
    <t>Is whitelisting pattern used while validating for malicious content instead of using blacklisting pattern?</t>
  </si>
  <si>
    <t>Always validate at server side</t>
  </si>
  <si>
    <t>Is validation done at server side?</t>
  </si>
  <si>
    <t>Validate source, context, syntax &amp; semantics of data</t>
  </si>
  <si>
    <t>Is the source, context, syntax &amp; semantics of data validated?</t>
  </si>
  <si>
    <t>Check length, type, magic number, size for the files</t>
  </si>
  <si>
    <t>Are file being processed by the application?</t>
  </si>
  <si>
    <t>Is the file type, length, magic number &amp; size checked for the file?</t>
  </si>
  <si>
    <t>Implement Centralized Validation Methods</t>
  </si>
  <si>
    <t>Are there any centralized methods implemented for validation?</t>
  </si>
  <si>
    <t>Use standard APIs like ESAPI, AntiSamy etc</t>
  </si>
  <si>
    <t>Are standard APIs like ESAPI or Antisamy or apache commons validator used for verification and validation?</t>
  </si>
  <si>
    <t>Check time of validation vs. time of usage</t>
  </si>
  <si>
    <r>
      <t>Whi</t>
    </r>
    <r>
      <rPr>
        <strike/>
        <sz val="9"/>
        <color theme="1"/>
        <rFont val="Calibri"/>
        <family val="2"/>
        <scheme val="minor"/>
      </rPr>
      <t>i</t>
    </r>
    <r>
      <rPr>
        <sz val="9"/>
        <color theme="1"/>
        <rFont val="Calibri"/>
        <family val="2"/>
        <scheme val="minor"/>
      </rPr>
      <t>le updating the data, does the application always validates the data or locks the data?</t>
    </r>
  </si>
  <si>
    <t>Session Management</t>
  </si>
  <si>
    <t>Establish an appropriate session timeout period</t>
  </si>
  <si>
    <t>Does the application has session timeout configured?</t>
  </si>
  <si>
    <t>Is it ensured to have session timeout configured for max 30 mins?</t>
  </si>
  <si>
    <t>1.1.1</t>
  </si>
  <si>
    <t>Is the session invalidated on time out?</t>
  </si>
  <si>
    <t>After logout do not reuse the same SID for same or other user</t>
  </si>
  <si>
    <t>Are the session IDs deleted after logout?</t>
  </si>
  <si>
    <t>Session Identifiers must not be stored in query strings or hidden parameters</t>
  </si>
  <si>
    <t>Are session identifiers stored in query strings or hidden parameters?</t>
  </si>
  <si>
    <t>Session IDs must not be stored in clear text at server</t>
  </si>
  <si>
    <t>Are session identifiers or tokens stored securely at server.</t>
  </si>
  <si>
    <t>Are session identifiers or tokens stored in persistent storage?</t>
  </si>
  <si>
    <t>Are session identifiers or tokens stored in server in-memory?</t>
  </si>
  <si>
    <t>Are session identifiers or tokens removed from the persistent storage on invalidation of the user session?</t>
  </si>
  <si>
    <t>Use framework's session manager for session ids</t>
  </si>
  <si>
    <t>Are the session identifier (SID) generated with appropriate randomness and length using the framework's session manager rather than creating a weak SID using a home-grown algorithm?</t>
  </si>
  <si>
    <t>Configure different session timeouts for different roles or access areas</t>
  </si>
  <si>
    <t>Are different session time out periods configured for different types of roles or access areas (e.g., Administrators would have shorter session time out period compared to other roles. Person accessing the application over internet would have shorter session time out period compared to person accessing the same application within Intranet)?</t>
  </si>
  <si>
    <t>Renew the SID before a sensitive transaction</t>
  </si>
  <si>
    <t>Are SIDs renewed before a sensitive transaction?</t>
  </si>
  <si>
    <t>Don't allow multiple session ids at the same time for the same account</t>
  </si>
  <si>
    <t>Are multiple session IDs allowed for same account at the same time?</t>
  </si>
  <si>
    <t>Logout user forcefully after a sufficient active period</t>
  </si>
  <si>
    <t>Is the user loggedout forcefully after sufficient active period?</t>
  </si>
  <si>
    <t>Log all attempts made with invalid Session IDs</t>
  </si>
  <si>
    <t>Are all attempts made with invalid session IDs logged?</t>
  </si>
  <si>
    <t>Error and exception handling</t>
  </si>
  <si>
    <t>Resource specific exception</t>
  </si>
  <si>
    <t>Does the application address specific exception instead of addressing generic exception (like DBAccessException over Exception) with the aid of appropriate exception ?</t>
  </si>
  <si>
    <t>No empty try / catch / finally blocks</t>
  </si>
  <si>
    <t>Does the application ensure that there are no empty try / catch / finally blocks?</t>
  </si>
  <si>
    <t>Return value check</t>
  </si>
  <si>
    <t>Is the return value checked on every function?</t>
  </si>
  <si>
    <t>Display need to know information</t>
  </si>
  <si>
    <t>Is the need to know or actionable information disclosed to the  user?</t>
  </si>
  <si>
    <t>Error messages sanitation</t>
  </si>
  <si>
    <t>Is the application server configured with default error handler that returns an appropriately sanitised error message for all error paths?</t>
  </si>
  <si>
    <t>Failures do not expose internal information</t>
  </si>
  <si>
    <t>In the event of a failure, is any information (like verbose messages, stack traces, or path details) exposed that could lead to information disclosure?</t>
  </si>
  <si>
    <t>Use error code book</t>
  </si>
  <si>
    <t>Is an"Error code book" constructed for unique error messages with error code for error logging.</t>
  </si>
  <si>
    <t>Centrally managing error and exceptions</t>
  </si>
  <si>
    <t>Is centralised error and exception management strategy deployed?</t>
  </si>
  <si>
    <t>Rollback to secure state during crash or function failure</t>
  </si>
  <si>
    <t>In case the system crashes or any critical function fails, are the changes undone and system is restored to a secure state? Are all transactions rolledback?</t>
  </si>
  <si>
    <t>Alarm when exception in critical transaction</t>
  </si>
  <si>
    <t>Are alarms generated for sequential exceptions in critical transactions (alarm can include fields like user, transaction IDs, time, type of validation etc.)?</t>
  </si>
  <si>
    <t>Data security and privacy</t>
  </si>
  <si>
    <t>Collect end user data only if absolutely necessary and relevant</t>
  </si>
  <si>
    <t>Does the application collect any sensitive end user data?</t>
  </si>
  <si>
    <t>Does the application store the data collected from the end user?</t>
  </si>
  <si>
    <t>Is the collected data encrypted before storing?</t>
  </si>
  <si>
    <t xml:space="preserve">Take users consent for data collection, retention, process, storage &amp; sharing </t>
  </si>
  <si>
    <t>Is explicit consent taken from the users for collection, retention, processing, storage &amp; sharing of data?</t>
  </si>
  <si>
    <t>All requests containing data must use POST Method</t>
  </si>
  <si>
    <t>Does the application use POST method for requests containing data and rejects GET requests for such cases?</t>
  </si>
  <si>
    <t>Disable client side caching for sensitive information</t>
  </si>
  <si>
    <t xml:space="preserve">Does the application ensure client side caching is disabled for sensitive information (including autocomplete feature in web application forms)? </t>
  </si>
  <si>
    <t>Perform periodic VA &amp; PT of the systems, network and application</t>
  </si>
  <si>
    <t>Is VA &amp; PT done regulary for the systems, networks and application?</t>
  </si>
  <si>
    <t>Securely export data in reports, print records, receipts, invoices, etc.</t>
  </si>
  <si>
    <t>Does the application take care of necessary Data Security controls while exporting the data in events such as  generating reports, printing any page/records, generating any receipts or invoices etc?</t>
  </si>
  <si>
    <t>Choose strong encryption, masking or tokenisation</t>
  </si>
  <si>
    <r>
      <t>Does the application ensure that the approach of either data encryption, data masking or tokenisation is well thought and approved of</t>
    </r>
    <r>
      <rPr>
        <strike/>
        <sz val="9"/>
        <color theme="1"/>
        <rFont val="Calibri"/>
        <family val="2"/>
        <scheme val="minor"/>
      </rPr>
      <t>f</t>
    </r>
    <r>
      <rPr>
        <sz val="9"/>
        <color theme="1"/>
        <rFont val="Calibri"/>
        <family val="2"/>
        <scheme val="minor"/>
      </rPr>
      <t xml:space="preserve"> to cater to the present and future security requirements?</t>
    </r>
  </si>
  <si>
    <t>Ensure right level of data access in creating, reading, altering or deleting</t>
  </si>
  <si>
    <t>Are appropriate Access Control List created to ensure the right level of data access for creating, reading, altering or deleting?</t>
  </si>
  <si>
    <t>Use OS specific mechanism for key management</t>
  </si>
  <si>
    <t>Are OS specific mechanisms used for key management (like DPAPI for windows and KeyChain for MAC)?</t>
  </si>
  <si>
    <t>Transport Layer protection</t>
  </si>
  <si>
    <t>Use Strong Keys &amp; Protect Them</t>
  </si>
  <si>
    <t>Are the keys used for encryption strong and stored in a secure location?</t>
  </si>
  <si>
    <t>Use Fully Qualified Names in Certificates</t>
  </si>
  <si>
    <t>Does the application use fully qualified domain names for certificates?</t>
  </si>
  <si>
    <t>Use "Secure" Cookie Flag</t>
  </si>
  <si>
    <t>Does the application uses cookies"</t>
  </si>
  <si>
    <t>Does the application use "secure" cookie flag?</t>
  </si>
  <si>
    <t>Keep Sensitive Data Out of the URL</t>
  </si>
  <si>
    <t>Is sensitive data kept out of the URL?</t>
  </si>
  <si>
    <t>Use a Certificate supporting required Domain Names</t>
  </si>
  <si>
    <t>Does the application use certificate supporting required domain names?</t>
  </si>
  <si>
    <t>Do Not Use Wildcard Certificates</t>
  </si>
  <si>
    <t>Does the application use any wild card certificates?</t>
  </si>
  <si>
    <t>Do Not Provide Non-TLS Pages for Secure Content</t>
  </si>
  <si>
    <t>Does the application have any non-TLS pages?</t>
  </si>
  <si>
    <t>Does the application ensures that no non-TLS pages can access secure contents?</t>
  </si>
  <si>
    <t>Use an Appropriate Certification Authority</t>
  </si>
  <si>
    <t>Does the application use appropriate certification authority?</t>
  </si>
  <si>
    <t>Only Support Strong Protocols</t>
  </si>
  <si>
    <t>Does the application support only strong protocols?</t>
  </si>
  <si>
    <t>Use HTTP Strict Transport Security &amp; Public Key Pinning</t>
  </si>
  <si>
    <t>Does the application use HTTP Strict Transport Security &amp; Public Key Pinning?</t>
  </si>
  <si>
    <t>Do Not Mix TLS and Non-TLS Content</t>
  </si>
  <si>
    <t>Are TLS and non-TLS pages seperated?</t>
  </si>
  <si>
    <t>Business logic security</t>
  </si>
  <si>
    <t>Identify Business Rules separately</t>
  </si>
  <si>
    <t>Are business rules identified seperately?</t>
  </si>
  <si>
    <t>Derive Test/Abuse Cases</t>
  </si>
  <si>
    <t>Does the test cases include negative or abuse cases derived from functional requirements?</t>
  </si>
  <si>
    <t>Do not allow any backdoor entries</t>
  </si>
  <si>
    <t>Does the application ensure that backdoor entries are not allowed?</t>
  </si>
  <si>
    <t>Perform Sanity Checks</t>
  </si>
  <si>
    <t>Are sanity checks performed?</t>
  </si>
  <si>
    <t>Do not make requests guessable</t>
  </si>
  <si>
    <t xml:space="preserve">1
</t>
  </si>
  <si>
    <t>Does the application make sure that no sensitive data is disclosed in the URL making the request guessable?</t>
  </si>
  <si>
    <t xml:space="preserve">Do not complicate implementation </t>
  </si>
  <si>
    <t>Does the code have limited complexity?</t>
  </si>
  <si>
    <t>Check for required accuracy and completeness</t>
  </si>
  <si>
    <t>Is the Business logic in application checked for accuracy &amp; completeness?</t>
  </si>
  <si>
    <t>Track the assets or inventory on regular frequency</t>
  </si>
  <si>
    <t>Is asset inventory tracked on periodic basis?</t>
  </si>
  <si>
    <t>Clearly define accountability for systems executing the logic</t>
  </si>
  <si>
    <t>Is accountability of systems executing the logic defined?</t>
  </si>
  <si>
    <t xml:space="preserve">Safe UUID, Random Numbers Generation </t>
  </si>
  <si>
    <t xml:space="preserve">Are UUID and random numbers generated according to the business standards? </t>
  </si>
  <si>
    <t>Prevent Brute Forcing or guessing attempts</t>
  </si>
  <si>
    <t>Does the application take measures to prevent Brute Forcing or guessing attempts such as account lockout or blocking IP address?</t>
  </si>
  <si>
    <t>Defence in Depth</t>
  </si>
  <si>
    <t>Are defence mechanisms implemented at each layer of the application? i.e., validations at both server and client side, Firewall, Web Application Firewall, etc.?</t>
  </si>
  <si>
    <t>Insist acknowledgement</t>
  </si>
  <si>
    <t>Is user acknowledgmen sought before confirming critical transaction?</t>
  </si>
  <si>
    <t xml:space="preserve">Changes in logic must be approved at all levels </t>
  </si>
  <si>
    <t>Are changes in logic approved at all levels?</t>
  </si>
  <si>
    <t>Limit the use of resources by priority</t>
  </si>
  <si>
    <t>Is use of resources limited by priority?</t>
  </si>
  <si>
    <t>Cryptography</t>
  </si>
  <si>
    <t xml:space="preserve">Avoid using home-grown cryptographic algorithms </t>
  </si>
  <si>
    <r>
      <t>Does the application store</t>
    </r>
    <r>
      <rPr>
        <strike/>
        <sz val="9"/>
        <color theme="1"/>
        <rFont val="Calibri"/>
        <family val="2"/>
      </rPr>
      <t>s</t>
    </r>
    <r>
      <rPr>
        <sz val="9"/>
        <color theme="1"/>
        <rFont val="Calibri"/>
        <family val="2"/>
      </rPr>
      <t xml:space="preserve"> system secrets like DB password or FTP credentials or any such system secrets or any sensitive data (Personal sensitive data or business sensitive data) in an encrypted format?</t>
    </r>
  </si>
  <si>
    <r>
      <t>Does the application use</t>
    </r>
    <r>
      <rPr>
        <strike/>
        <sz val="9"/>
        <color theme="1"/>
        <rFont val="Calibri"/>
        <family val="2"/>
      </rPr>
      <t>s</t>
    </r>
    <r>
      <rPr>
        <sz val="9"/>
        <color theme="1"/>
        <rFont val="Calibri"/>
        <family val="2"/>
      </rPr>
      <t xml:space="preserve"> encryption algorithms like AES256 with GCM encryption mode?</t>
    </r>
  </si>
  <si>
    <t>Use strong keys &amp; secure storage</t>
  </si>
  <si>
    <t>Are the keys stored in key vaults or key stores?</t>
  </si>
  <si>
    <t xml:space="preserve">Use different keys for different applications </t>
  </si>
  <si>
    <t>Does the application have any child apps?</t>
  </si>
  <si>
    <t>Does the child application store any sensitive data?</t>
  </si>
  <si>
    <t>Does the child application use different  keys than the parent application?</t>
  </si>
  <si>
    <t>Mandate activation for each key for limited period</t>
  </si>
  <si>
    <t>Are the keys rotated every 30-90 days?</t>
  </si>
  <si>
    <t>Deploy key manager for key generation, activation, storage, distribution, renewal, deactivation, recovery, deletion and define interface</t>
  </si>
  <si>
    <t>Does the application use any standard key management solution like key vault or key store?</t>
  </si>
  <si>
    <t>Privilege management</t>
  </si>
  <si>
    <t>Set most restrictive permissions for software during installations</t>
  </si>
  <si>
    <t>Are most restrictive permissions set for software during installations?</t>
  </si>
  <si>
    <t>Determine minimum privilege level required for execution of each software component and operation</t>
  </si>
  <si>
    <t>Are minimum privilege levels determined for required execution of each software component and operation?</t>
  </si>
  <si>
    <t>Do not run any software with Root or administrator</t>
  </si>
  <si>
    <t>Does the application run as a non-root user?</t>
  </si>
  <si>
    <t>Policy that specifies how super user accounts will be managed</t>
  </si>
  <si>
    <t>Does a policy specifying how super user accounts will be managed exist?</t>
  </si>
  <si>
    <t>Identify need for trust zones</t>
  </si>
  <si>
    <t>Is the application deployed in a trusted zone?</t>
  </si>
  <si>
    <t>Identify different permissions for each resource such as read/write/execute</t>
  </si>
  <si>
    <t>Does the application identify different permissions for each resource such as read/write/execute?</t>
  </si>
  <si>
    <t>Log all privilege management events</t>
  </si>
  <si>
    <t>Are all the privilege management events logged?</t>
  </si>
  <si>
    <t>During operation with elevated privilege, raise privileges as late as possible and immediately drop once operation is done</t>
  </si>
  <si>
    <t>Does the application have operations dealing with elevated privileges?</t>
  </si>
  <si>
    <t>Are the privileges raised as late as possible and immediately droped once operation is done?</t>
  </si>
  <si>
    <t>Inventory privileged accounts periodically</t>
  </si>
  <si>
    <t>Are privileged accounts revised periodically?</t>
  </si>
  <si>
    <t>Resource Management and synchronisation</t>
  </si>
  <si>
    <t>During declaration, initialise all variables with accepted default values</t>
  </si>
  <si>
    <t>Are all the variables initialized with accepted default values during declartion?</t>
  </si>
  <si>
    <t>Set all the parameters as default false</t>
  </si>
  <si>
    <t>Are all the parameters set to 'false' by default?</t>
  </si>
  <si>
    <t>Do not take values for variable initiation as it is from users</t>
  </si>
  <si>
    <t xml:space="preserve">Does the application take user input as it is for the variables initiation? </t>
  </si>
  <si>
    <t xml:space="preserve">Avoid performing complex calculations during initialization </t>
  </si>
  <si>
    <t>Are complex calculations avoided during initialization?</t>
  </si>
  <si>
    <t>Release all resources when they are no longer required</t>
  </si>
  <si>
    <t>Are all resources released when they are no longer required?</t>
  </si>
  <si>
    <t>Use technologies that perform automatic garbage collection</t>
  </si>
  <si>
    <t>Ensure that all pointers are set to NULL post release</t>
  </si>
  <si>
    <t>Are all the objects nullified post release?</t>
  </si>
  <si>
    <t>Are pointers being used?</t>
  </si>
  <si>
    <t>Are all pointers are set to NULL post release?</t>
  </si>
  <si>
    <t xml:space="preserve">Avoid declaring Global, Public or static variables </t>
  </si>
  <si>
    <t>Does the application use any global, public or static variables?</t>
  </si>
  <si>
    <t>For Multithreading applications, use synchronization primitives</t>
  </si>
  <si>
    <t>Is it a multithreading application?</t>
  </si>
  <si>
    <t>Does the application use synchronization primitives?</t>
  </si>
  <si>
    <t>Use thread-safe functions on shared variables</t>
  </si>
  <si>
    <t>Does the application use thread-safe funtions?</t>
  </si>
  <si>
    <t>Ensure that code does not go in large or infinite loop</t>
  </si>
  <si>
    <t>Does the application ensure that code does not go into a large or an infinite loop?</t>
  </si>
  <si>
    <t xml:space="preserve">Perform SAST &amp; Code Walkthrough </t>
  </si>
  <si>
    <t>Are SAST and Code walkthroughs done regularly?</t>
  </si>
  <si>
    <t>Avoid compiler optimisation for threaded code</t>
  </si>
  <si>
    <t>Is compiler optimisation avoided?</t>
  </si>
  <si>
    <t>Heed Compiler Warnings</t>
  </si>
  <si>
    <t>Are compiler warnings taken care of?</t>
  </si>
  <si>
    <t xml:space="preserve">TCS Confidential </t>
  </si>
  <si>
    <t>Application ID (As per ARM)</t>
  </si>
  <si>
    <t>Application Name</t>
  </si>
  <si>
    <t>Risk Category (Low / Medium / High / Very High)</t>
  </si>
  <si>
    <t>Sr.No</t>
  </si>
  <si>
    <t>Section</t>
  </si>
  <si>
    <t>Section Name</t>
  </si>
  <si>
    <t>Sub</t>
  </si>
  <si>
    <t>Requirement</t>
  </si>
  <si>
    <t>Application team Remarks</t>
  </si>
  <si>
    <t>Reviewer's Comments</t>
  </si>
  <si>
    <t>Benchmark ReferenceGuidelines</t>
  </si>
  <si>
    <t>V1</t>
  </si>
  <si>
    <t>Secure Configuration</t>
  </si>
  <si>
    <t>Identify any components that store secrets, like API keys, for third-party systems, like hosted LLMs and vector databases, and ensure the secure handling of these credentials according to section V2.10 “Service Authentication” of the OWASP ASVS.</t>
  </si>
  <si>
    <t>1.Have you utilized Azure Key Vault to store API keys and secret keys?
2.Have you ensured that a private connection is enabled?</t>
  </si>
  <si>
    <t>For self-hosted LLMs, ensure they are appropriately segregated within the network to prevent direct exposure to end-users unless such access is required.</t>
  </si>
  <si>
    <t>Are Self Hosted LLM's utilized?</t>
  </si>
  <si>
    <t>Maintain an up-to-date inventory of all LLM instances and apply regular updates and patches to self-hosted models.</t>
  </si>
  <si>
    <t>Perform and document regular configuration reviews for configuration settings associated with the LLM-powered system.</t>
  </si>
  <si>
    <t xml:space="preserve">
How are these points being managed needs to be addressed
1. Content Filter Configuration
2. Endpoint Configuration</t>
  </si>
  <si>
    <t>V2</t>
  </si>
  <si>
    <t>Model Lifecycle</t>
  </si>
  <si>
    <t>Ensure that the lifecycle of machine learning models is integrated into the existing Secure Software Development Lifecycle (SSDLC). Defined processes should exist and be available for each stage of the lifecycle of ML models.</t>
  </si>
  <si>
    <t>Application team to confirm whether there is requirement to use new model/train model else this case will not be applicable</t>
  </si>
  <si>
    <t>Document user stories defining the requirements and use cases for any new ML model being produced.</t>
  </si>
  <si>
    <t>Application team will share the user story as per their usecase</t>
  </si>
  <si>
    <t>Ensure that model training resources and datasets are acquired from trustworthy sources and validated for correctness or free from malicious data.</t>
  </si>
  <si>
    <t xml:space="preserve">
Data used by UseCase/RAG (Retrival Augmented Generated / Grounded) needs to be verified
[Applicable for Upload functionality in Gen AI UseCase]</t>
  </si>
  <si>
    <t>Ensure that model training resources and datasets are properly secured from unauthorized modification once acquired.</t>
  </si>
  <si>
    <t xml:space="preserve">
Have you confirmed whether there are mechanisms in place to monitor and log any access or modifications made to the training resources and datasets/  or whether activities related to files uploaded by users are being logged? This helps in detecting any unauthorized attempts to alter the data and provides a record for auditing purposes.
Recommendation:
 Application has to maintain the authorization properly to avoid improper modification of data
[Applicable for Upload functionality in Gen AI UseCase]</t>
  </si>
  <si>
    <t>Ensure that the source of any training resources and datasets is documented.</t>
  </si>
  <si>
    <t xml:space="preserve">
For now, Application team has to maintain record of the datasets that is shared to LLM
[Applicable for Upload functionality in Gen AI UseCase]</t>
  </si>
  <si>
    <t>Ensure that any data cleaning or other modifications to the original training resources are tracked and auditable to reduce the risk of data poisoning from an insider threat.</t>
  </si>
  <si>
    <t>Application team to share information on below points
1. Application has to maintain checks to block harmful content from getting executed
2. Everything should get added in logs.
[Applicable for Upload functionality in Gen AI UseCase]</t>
  </si>
  <si>
    <t>Ensure that the intellectual property rights of model training resources and datasets are checked to avoid potential license or copyright infringement issues. Ensure this process is documented and auditable.</t>
  </si>
  <si>
    <t xml:space="preserve">
Application team to share information on below points
1. Data Ownership Mail
2. Plagarism Check (IRC)
3. All features in the AI Services should be first approved from Legal end.
</t>
  </si>
  <si>
    <t>Ensure that model training resources are audited for sensitive data (such as PII, internal company data, etc.) and cleaned before training to mitigate sensitive data exposure in model responses.</t>
  </si>
  <si>
    <t xml:space="preserve">
Privacy Approval to be shared by application team (for data sent to LLM as part of RAG/Context) for sensitive information
[Applicable for Upload functionality in Gen AI UseCase]</t>
  </si>
  <si>
    <t>Ensure secure acquisition and storage of foundational or pre-trained models.</t>
  </si>
  <si>
    <t>As of now, applicable when Self-Hosted LLM are utilized</t>
  </si>
  <si>
    <t>Where possible, prefer secure model formats such as SafeTensors over formats that use unsafe serialization, like PyTorch’s Pickle format.</t>
  </si>
  <si>
    <t>If applicable, share the required information</t>
  </si>
  <si>
    <t>Ensure that foundational models are fine-tuned to limit irrelevant data points which may lead to poor model performance.</t>
  </si>
  <si>
    <t xml:space="preserve">
Share information whether grounding is properly handled
[The Limit/Scope of LLM Model should be defined properly by App Team/ Business Team]
Note : NOT APPLICABLE IN ULTIMATIX AS OF NOW, but if applicable team should add data</t>
  </si>
  <si>
    <t>Check regulatory obligations to ensure compliance when handling and processing model training data.</t>
  </si>
  <si>
    <t>Note : NOT APPLICABLE IN ULTIMATIX AS OF NOW, but if applicable team should add data</t>
  </si>
  <si>
    <t>Ensure that an ML Bill-of-Materials (BOM) is produced for each model.</t>
  </si>
  <si>
    <t>1. Details of Components to be shared, if present</t>
  </si>
  <si>
    <t>Consider watermarking techniques for model responses when model theft is a concern, or the output of the model needs to be identifiable.</t>
  </si>
  <si>
    <t xml:space="preserve">
Recommendation:
1. As response is provided by LLM model only, hence one annotation is added at end of the response of LLM Model (e.g: content generated by LLM Model)
2. It is must for application team to show this annotation in the UI to end user</t>
  </si>
  <si>
    <t>Ensure tooling to detect biases and ensure fairness are integrated into the ML model’s lifecycle.</t>
  </si>
  <si>
    <t>Have you confirmed that there are regular evaluations and updates to the bias detection tools to address new findings and ensure the model remains fair and equitable over time? This helps maintain a commitment to fairness as the model evolves.</t>
  </si>
  <si>
    <t>Ensure security tooling to detect LLM vulnerabilities such as injection attacks, jailbreak attempts, and other abuse are integrated into the ML model’s lifecycle.</t>
  </si>
  <si>
    <t xml:space="preserve">
 Have you confirmed that there are regular assessments and updates to the security tooling to ensure it remains effective against new and evolving threats? This helps maintain a robust security posture as the model and its environment change.
Recommendation: Injection checks should be enabled at Application end</t>
  </si>
  <si>
    <t>Before a model is finalized for deployment, conduct a thorough risk assessment to understand potential security, ethical, and operational risks. This assessment should guide the decision-making process regarding the deployment of the model.</t>
  </si>
  <si>
    <t>Context Testing is to be conducted by application team</t>
  </si>
  <si>
    <t>Ensure there is a clear plan for decommissioning models that are no longer in use. This includes securely erasing data, model parameters, and any sensitive information associated with the model to prevent unauthorized access or misuse.</t>
  </si>
  <si>
    <t>Have you confirmed that there are procedures in place to verify that all sensitive information associated with the model has been completely removed to prevent unauthorized access or misuse? This helps protect against potential data breaches.</t>
  </si>
  <si>
    <t>V3</t>
  </si>
  <si>
    <t>Real-Time Learning</t>
  </si>
  <si>
    <t>Define clear terms of use and guidelines for interacting with the model and make users aware of acceptable and unacceptable behaviors.</t>
  </si>
  <si>
    <t xml:space="preserve">
Have you confirmed that users are made aware of these terms and guidelines, such as through onboarding processes or visible notifications? This helps ensure that users understand the rules and the consequences of violating them.
Note: The Consent should be taken from user and this consent proof should be shared by the application team</t>
  </si>
  <si>
    <t>Ensure continuous monitoring of the model’s performance and interactions. This includes logging all inputs and outputs (where appropriate, with consideration to the potential sensitivity of the data) in real time to quickly identify and address any inappropriate or unexpected behavior.</t>
  </si>
  <si>
    <t xml:space="preserve">
Have you implemented continuous monitoring of the model’s performance and interactions to ensure that all inputs and outputs are logged in real time? This is important for quickly identifying any inappropriate or unexpected behavior.
1.Application team to share sample logs (stored in DB).</t>
  </si>
  <si>
    <t>Create clear protocols for immediate intervention in case the model starts displaying undesirable behavior. This should include the ability to quickly take the system offline if necessary.</t>
  </si>
  <si>
    <t>1. Have you confirmed that there is a mechanism in place to quickly take the system offline if necessary to prevent further issues? This helps protect users and the integrity of the application.</t>
  </si>
  <si>
    <t>Regularly analyze user interactions to identify and mitigate attempts to manipulate the model into inappropriate behavior.</t>
  </si>
  <si>
    <t>Have you checked that there is a process in place to regularly analyze user interactions with the LLM to identify any patterns or attempts to manipulate the model into inappropriate behavior? This is important for understanding how users are interacting with the system and spotting potential misuse.
Recommendation: 
1. JailBreak Detection should be implemented to prevent jail break.
2. It is recommended to block user after certain limits of performing malicious activity.</t>
  </si>
  <si>
    <t>Consider using an incremental learning approach where the model can be updated in increments with human approval.</t>
  </si>
  <si>
    <t xml:space="preserve">
Models are provided by the Vendor
But if applicable, required data is to be added</t>
  </si>
  <si>
    <t>V4</t>
  </si>
  <si>
    <t>Model Memory &amp; Storage</t>
  </si>
  <si>
    <t>Ensure that mechanisms that implement “Conversational memory” do not mistakenly mix up prior prompts for other users.</t>
  </si>
  <si>
    <t>1. To test it via prompts (previous chat, simultaneously create two parallel chats and check for data mixing)
2. Application team to confirm incase if they are storing the conversational history within the application storage &amp; how they are managing it, if any such scenario present</t>
  </si>
  <si>
    <t>Ensure that mechanisms which support “long-term” storage appropriately segregate user data to ensure it is not possible to retrieve data pertaining to other users, or inject false records for other users.</t>
  </si>
  <si>
    <t>1. Application team to confirm where the data is stored, is it stored manually or is there any automation present post user prompts are triggered.
2. Application team to confirm how they are securing the db</t>
  </si>
  <si>
    <t>Ensure that controls exist to detect leakage of sensitive data from internal knowledge bases provided as additional context to the LLM. It should not be possible to coerce the LLM into leaking the contents of the knowledge base.</t>
  </si>
  <si>
    <t>Have you checked that there are controls in place to monitor and detect any attempts to extract sensitive data from internal knowledge bases when interacting with the LLM? This is important to identify potential data leakage incidents.</t>
  </si>
  <si>
    <t>Ensure that external storage components such as vector databases and caches require authentication for consumers.</t>
  </si>
  <si>
    <t>1. Check authentication mechanism at Solar or any other vector databases used
2. Directly check for the accessibility of Solar IP:Port
[Solar Apache is tool and every application will have it's own installed on its server]</t>
  </si>
  <si>
    <t>Enforce the principle of least privilege for accessing production storage components, such as vector databases and caches.</t>
  </si>
  <si>
    <t>1. Check authentication mechanism and authorization implemented for accessing the storage used to store history and vector databases
2. It can be either RBAC else specific user is having access to this storage in production</t>
  </si>
  <si>
    <t>When updating embeddings within a knowledge base, ensure that an adversary is not able to inject arbitrary documents or otherwise insert false information into the knowledge base.</t>
  </si>
  <si>
    <t>1. Application team should share information where they are storing the knowledge base
2. Team to share information on who all can access this knowledge base
3. Need confirmation from application team to check whether it is connected with Secure Storage (e.g AEM)</t>
  </si>
  <si>
    <t>V5</t>
  </si>
  <si>
    <t>Secure LLM Integration</t>
  </si>
  <si>
    <t>Ensure that prompts to LLMs are issued from a trusted server-side component.</t>
  </si>
  <si>
    <t xml:space="preserve">
Recommendation:
1. Application team will confirm via architecture to review and make sure that client does not interacts with the LLM Model Directly.
2. API Gateway should be used as intermediate component for API's utilized.
3. IDEAL FLOW OF USER PROMPT: Main Prompt is created by the application team and then the user prompts are passed over it and then accordingly the reponse is passed</t>
  </si>
  <si>
    <t>Ensure that prompts to LLMs are constructed server-side, rather than accepting the complete prompt directly from the client.</t>
  </si>
  <si>
    <t>Have you checked whether server-side validation is present before passing the prompts to the models?</t>
  </si>
  <si>
    <t>Consider the use of redundant LLM accounts and providers to avoid single points of failure and ensure application availability.</t>
  </si>
  <si>
    <t>Have you confirmed that there are monitoring and failover mechanisms in place to automatically switch to a backup LLM provider if the primary one becomes unavailable? This helps maintain application availability and reliability.</t>
  </si>
  <si>
    <t>Ensure that credentials for LLM providers are securely handled according to section V2.10 “Service Authentication” of the OWASP ASVS.</t>
  </si>
  <si>
    <t>Have you confirmed that there are processes in place to regularly review and rotate these credentials to minimize the risk of exposure? This helps ensure that even if credentials are compromised, their impact is limited.</t>
  </si>
  <si>
    <t>Ensure that the output format and properties of the data returned from the LLM match the expected structure and properties. Specifically, when a response is expected in JSON, the result should not only be in valid JSON format, but also undergo schema validation to ensure it contains all the expected JSON fields and does not include any unnecessary or extraneous properties.</t>
  </si>
  <si>
    <t xml:space="preserve">
Have you checked that the output from the LLM is in the expected format, such as valid JSON, and that it adheres to the required structure? This is important to ensure that the data can be processed correctly without errors.
Also, Application team to share what output format is configured for the LLM response</t>
  </si>
  <si>
    <t>Ensure that the output language of the LLM response matches the expected language.</t>
  </si>
  <si>
    <t>1. Application team to share the business requirement and language expected in reponse of LLM.
2. And team should take care that output is extracted in required language only</t>
  </si>
  <si>
    <t>Consider using canary tokens in LLM prompts and check whether LLM completions contain the canary word to detect prompt leakage attacks.</t>
  </si>
  <si>
    <t>Have you confirmed that there is a process in place to analyze LLM completions for the presence of the canary word? This helps in detecting if the prompt has been leaked or misused.
Canary tokens are unique identifiers embedded in prompts or data that alert you if they are accessed or triggered. They act as a warning system for potential security breaches.
Example: If you include a canary token like "SECRET123" in an LLM prompt, you would then check the LLM's response to see if it includes that specific word. If the response contains "SECRET123," it indicates that the prompt may have been leaked or accessed inappropriately, signaling a potential security issue.</t>
  </si>
  <si>
    <t>Check the entropy of LLM responses to detect encoded data which aims to circumvent additional checks, such as bypassing canary tokens.</t>
  </si>
  <si>
    <t xml:space="preserve"> Have you confirmed that there are mechanisms in place to flag responses with high entropy for further review? This helps in detecting attempts to bypass security measures, such as canary tokens.
Entropy is a measure of randomness in data. High entropy indicates complex and unpredictable data, while low entropy suggests more predictable patterns. For example, a random string like "aB3$gH7!kL9" has high entropy because it contains a mix of letters, numbers, and symbols, making it hard to predict. In contrast, a string like "aaaaaa" has low entropy because it is repetitive and predictable. Analyzing entropy helps spot hidden or encoded information that could compromise security.</t>
  </si>
  <si>
    <t>Perform length checks on LLM completions to verify that the response length is within an expected range. For example, a response that is significantly longer than the normal output length might indicate the completion is including additional, unexpected data.</t>
  </si>
  <si>
    <t>Have you confirmed that there are alerts or logs generated when a response exceeds the normal output length? This helps in identifying any unusual behavior that could indicate the inclusion of unexpected data.</t>
  </si>
  <si>
    <t>Ensure that the application properly suppresses any exceptions and error messages when interacting with the LLM. LLM errors may inadvertently leak the prompt and should not be visible to the client.</t>
  </si>
  <si>
    <t>Have you confirmed that there are generic error messages displayed to the client instead of specific details about the LLM interactions? This helps to ensure that no prompts or internal information are inadvertently leaked.
Recommendation:
The sanity is performed at the application level
[Note : For Error Handling Code Parseing is done | Generic Prompts are configured at application team is responsible to configure]</t>
  </si>
  <si>
    <t>Ensure that appropriate LLM guards are used to scan prompts and completions to help detect potential prompt injection attacks.</t>
  </si>
  <si>
    <t>1. Application team will share proof that context based precautionary checks (Guardrails) are enabled.
2. Major Checks should be implemented at Application level as per the Use-Case</t>
  </si>
  <si>
    <t>Ensure that all prompts are considered to be untrusted and subjected to any deployed security controls. Reflecting stored data, data from third-party APIs, or the response from previous prompt completions may lead to indirect prompt injections and must be subjected to the same controls as prompts containing direct user input.</t>
  </si>
  <si>
    <t>Incase the gen ai -use case is utilizing the memory/chat support (previous output of LLM is used as input to the next user prompt) then it needs to be taken care by the application team, proof should be shared for the same.</t>
  </si>
  <si>
    <t>Ensure that the output of LLM completions is considered to be untrusted by any subsequent system. For example, if using the LLM response within a SQL query, the query should not be constructed by concatenating parts of the LLM response but should follow section V5.3.4 of the OWASP ASVS and use parameterized queries.</t>
  </si>
  <si>
    <t>1. Application team should share proof how they are storing the data into their database.
2. How safely the application team is dealing with response by the LLM needs to be verified</t>
  </si>
  <si>
    <t>Ensure that systems that result in LLM calls have appropriate API rate limiting to avoid excessive calls to LLMs, which may result in unexpected and excessive LLM costs.</t>
  </si>
  <si>
    <t xml:space="preserve">
Have you checked that the systems making calls to the LLM have proper API rate limiting in place? This is important to prevent excessive requests that could lead to high costs
Recommendation:
1. Rate Limit check needs to be within limit
2. API should always be hosted behind Application Gateway and then be consumed.</t>
  </si>
  <si>
    <t>Ensure that cost alerts are active within LLM provider configurations to be alerted when costs exceed expectations.</t>
  </si>
  <si>
    <t>Have you checked that cost alerts are set up and active in the LLM provider's configurations? This is important to ensure you are notified if costs start to exceed what you expect.</t>
  </si>
  <si>
    <t>Define baselines for normal LLM interactions and monitor and alert when abnormal LLM interactions are detected.</t>
  </si>
  <si>
    <t>Have you set up a monitoring system that can alert you when abnormal interactions with the LLM are detected? This is important to quickly respond to any potential security incidents or misuse.
Recommendation:
Incase if any abnormal prompts detection happens the user must be notified about it on UI end</t>
  </si>
  <si>
    <t>Ensure any functionality that allows anonymous users to preview features is properly restricted to allow only the necessary features.</t>
  </si>
  <si>
    <t>Have you checked that any features allowing anonymous users to preview are limited to only the necessary functions? This helps to prevent unauthorized access to sensitive information.
Note &amp; Recommendation:
1. Anonymous users should not be allowed to access the application.
2. User must be strictly TCSer and application should be accessible only post authentication via SSO only</t>
  </si>
  <si>
    <t>V6</t>
  </si>
  <si>
    <t>Agents &amp; Plugins</t>
  </si>
  <si>
    <t>Ensure that agent-based solutions only expose access to the agent tools and plugins required for the current task. When multiple agent-supported tasks exist, it should not be possible for a given task to leverage tools or plugins used by another task.</t>
  </si>
  <si>
    <t>Application team should confirm and provide information if any agents or plugins are utilized</t>
  </si>
  <si>
    <t>Ensure that custom plugins and agent tools follow existing SSDLC processes.</t>
  </si>
  <si>
    <t>Ensure third-party plugins and toolkits are properly vetted according to existing third-party risk management processes.</t>
  </si>
  <si>
    <t>Ensure that the parameters for agent tools and plugins are validated prior to execution. Typical checks should include type checks at minimum, in addition to any more specific validation.</t>
  </si>
  <si>
    <t>Ensure that credentials for third-party services consumed by agent tools and plugins are securely handled according to section V2.10 “Service Authentication” of the OWASP ASVS.</t>
  </si>
  <si>
    <t>Ensure that agent and plugin frameworks contain hooks that allow the raw prompts and completions to be intercepted, enabling LLM guards to operate, and enabling proper monitoring, troubleshooting, and auditing.</t>
  </si>
  <si>
    <t>Ensure that custom-built plugins consider the scope of the currently authenticated principle. Plugins should not be able to access more than what the current principle is authorized to access.</t>
  </si>
  <si>
    <t>Ensure that the host that executes agent tools and plugins is appropriately segregated from other internal components. Certain internal services might need to be queried, but firewall rules should enforce that unrelated services are not reachable.</t>
  </si>
  <si>
    <t>Ensure that the host that executes agent tools and plugins is appropriately restricted from making arbitrary egress network requests. Only traffic for required APIs and services should be allowed to help increase the difficulty of data exfiltration from autonomous agents.</t>
  </si>
  <si>
    <t>Ensure that API tokens for third-party services are scoped to the minimum required by the agent or plugin. For example, an agent designed to read messages from a specific Slack channel should not be able to read messages from other channels or post messages.</t>
  </si>
  <si>
    <t>Consider manual approval, sometimes referred to as “human-in-the-loop,” for sensitive operations before autonomous agents can continue execution.</t>
  </si>
  <si>
    <t>Ensure that agents are executed in a sandboxed ephemeral environment to reduce the risk of agent prompts which result in code execution due to software defects.</t>
  </si>
  <si>
    <t>V7</t>
  </si>
  <si>
    <t>Dependency &amp; Component</t>
  </si>
  <si>
    <t>Utilize Software Composition Analysis (SCA) tools to identify and remediate known vulnerabilities within third-party components used in LLM-powered applications.</t>
  </si>
  <si>
    <t>Application team who will be deploying the Gen AI UseCase, in this application team needs to share the SCA Report</t>
  </si>
  <si>
    <t>Ensure that all third-party LLM components are acquired from a trusted source.</t>
  </si>
  <si>
    <t>Application team can share the OSS RFC as proof, incase third party components are involved</t>
  </si>
  <si>
    <t>Ensure a defined vulnerability and patch management process exists for third-party components.</t>
  </si>
  <si>
    <t>1. For Mitigating vulnerable libraries or components, application team needs to share the OSS RFC as the proof, , incase third party components are involved</t>
  </si>
  <si>
    <t>Ensure that a Software Bill of Materials (SBOM) exists cataloging third-party components, licenses, and versions.</t>
  </si>
  <si>
    <t>1. The section "7.1.3	Open-Source Products / 3rd Party Products or API" in Architecture document contains this attributes application team should share information about it</t>
  </si>
  <si>
    <t>Where unsafe PyTorch models are required, ensure the model is scanned for potentially dangerous Python imports.</t>
  </si>
  <si>
    <t>1. Application team should share code proof that PyTorch is not utilized
2. Incase PyTorch is utilized then proper OSS RFC should be present
3. SCA scan is must to be performed on packages</t>
  </si>
  <si>
    <t>When hosting LLM components within private package registries, ensure the setup is not susceptible to Dependency Confusion attacks.</t>
  </si>
  <si>
    <t>Have you checked that the setup of private package registries is secure enough to prevent Dependency Confusion attacks, which can happen when the system mistakenly uses a malicious package instead of the intended one?
Example: Suppose your organization uses a private package registry to host a library called "my-library." If a public package registry also has a package named "my-library" but with a malicious version, an attacker could publish this malicious package. If your setup does not properly prioritize the private version, the system might accidentally use the public, malicious version instead.
To prevent this, you should ensure that your private package registry is configured to always prioritize packages from the private source and that you regularly audit the packages to confirm they are the correct and safe versions.</t>
  </si>
  <si>
    <t>V8</t>
  </si>
  <si>
    <t>Monitoring &amp; Anomaly Detection</t>
  </si>
  <si>
    <t>Continuously monitor the usage patterns of LLM applications for anomalies that could indicate security incidents, such as unexpected spikes in usage or deviations from typical output patterns.</t>
  </si>
  <si>
    <t xml:space="preserve">Have you checked that there is a system that continuously watches how LLM applications are used to spot any unusual activities, like sudden increases in usage or changes in the usual output?
</t>
  </si>
  <si>
    <t>Establish logging and alerting mechanisms for events that could suggest prompt leaks, such as the appearance of canary tokens (see 5.7) in logs or unexpected language patterns.</t>
  </si>
  <si>
    <t xml:space="preserve">Have you verified that the logging mechanisms are properly configured to capture all relevant events that could indicate prompt leaks, including the appearance of canary tokens and unexpected language patterns?
</t>
  </si>
  <si>
    <t>C1</t>
  </si>
  <si>
    <t>Custom: Secure Configuration &amp; Maintenance</t>
  </si>
  <si>
    <t>Validate Secure Deployment Practices for servers, containers, and network configurations</t>
  </si>
  <si>
    <t>Whether you have assessed firewall settings, container hardening, and network segmentation to ensure the deployment environment is resilient against common attacks?</t>
  </si>
  <si>
    <t>Verify that integration secrets do not rely on unchanging passwords, such as static API keys or shared privileged accounts</t>
  </si>
  <si>
    <t>An attacker exploits a static API key in a web application to gain unauthorized access to a third-party service, allowing them to manipulate data or extract sensitive information. This vulnerability highlights the need for dynamic authentication methods that regularly refresh to prevent long-term exploitation.</t>
  </si>
  <si>
    <t>Verify that if passwords are required, the credentials are not a default account.</t>
  </si>
  <si>
    <t>Whether you have made sure Application/API is not using the default credentionals.</t>
  </si>
  <si>
    <t>Verify that passwords are stored with sufficient protection to prevent offline recovery attacks, including local system access.</t>
  </si>
  <si>
    <t>An attacker gains local access to a server and attempts to recover user passwords stored in a database. If the passwords are not properly hashed and salted, the attacker can easily retrieve and use them, compromising user accounts and sensitive data.</t>
  </si>
  <si>
    <t>Verify API Authentication mechanisms ensuring that endpoints enforce strict token/key validation</t>
  </si>
  <si>
    <t>Whether API requests with invalid or expired tokens are validated every time?</t>
  </si>
  <si>
    <t>Verify Role-Based Access Control by attempting privilege escalation across different user roles</t>
  </si>
  <si>
    <t>Whether you have validated that users with lower privileges cannot access administrative functions or sensitive configurations meant for higher privileged roles within the application?
Whether there are any specific different roles present?</t>
  </si>
  <si>
    <t>Verify Session Management ensuring secure creation, maintenance, and invalidation of session tokens</t>
  </si>
  <si>
    <t>Whether you have logged in, forced a session timeout or logout, and confirmed that the session token is invalidated to mitigate session hijacking risks?</t>
  </si>
  <si>
    <t>Verify that the LLM runs with the least privileges necessary and does not have unnecessary access to system resources and any extra permissions.</t>
  </si>
  <si>
    <t>Whether you have verified that the process runs with minimal permissions required for operation to prevent escalation of attacks, and confirmed that appropriate roles (System, Assistant, and User) are defined?</t>
  </si>
  <si>
    <t>C4</t>
  </si>
  <si>
    <t>Custom: Dependency and Component</t>
  </si>
  <si>
    <t>Verify Third-Party Components integration ensuring they are secure, updated, and vulnerability-free</t>
  </si>
  <si>
    <t>Whether you have verified that external libraries and plugins are patched against known vulnerabilities to reduce risk exposure from third-party integrations?</t>
  </si>
  <si>
    <t>Validate API Rate Limiting mechanisms to mitigate brute-force and denial-of-service attacks</t>
  </si>
  <si>
    <t>Whether any  rate limits are enforced to endpoints and that abusive behavior is throttled or blocked.</t>
  </si>
  <si>
    <t>C5</t>
  </si>
  <si>
    <t>Custom: Monitoring and Anomaly Detection</t>
  </si>
  <si>
    <t>Verify that Error Handling does not disclose sensitive system or configuration details</t>
  </si>
  <si>
    <t xml:space="preserve"> Whether you have induced controlled errors and confirmed that the error messages are generic, without divulging stack traces or internal system details?</t>
  </si>
  <si>
    <t>Test Logging and Monitoring to ensure sensitive interactions and anomalies are captured securely</t>
  </si>
  <si>
    <t>Have you generated both legitimate and malicious requests, and audited the logs to verify that events are recorded without including sensitive input details?</t>
  </si>
  <si>
    <t>Verify that security logs in place to detect abnormal behavior</t>
  </si>
  <si>
    <t>Ensure logging mechanisms track suspicious activities like repeated injection attempts.</t>
  </si>
  <si>
    <t>Verify that Prompt Logs should not have any PII, PHI and confidential data</t>
  </si>
  <si>
    <t>If Application team is storing Prompt logs (Prompt query and Prompt response), log should not have sensitive details (PII, PHI and confidential data).</t>
  </si>
  <si>
    <t>Verify Incident Response Readiness by simulating security events and verifying alerting and logging mechanisms</t>
  </si>
  <si>
    <t>Example: Conduct a controlled breach scenario to verify that the system triggers alarms, logs events suitably, and facilitates timely incident response and forensic analysis.</t>
  </si>
  <si>
    <t>C6</t>
  </si>
  <si>
    <t>Custom: Data Protection &amp; Sanitization</t>
  </si>
  <si>
    <t>Validate Data Encryption during transit and at rest for all sensitive communications and stored data</t>
  </si>
  <si>
    <t>Whether you have examined network traffic to confirm the use of TLS for data in transit and inspected storage mechanisms to ensure encryption is applied to sensitive data?</t>
  </si>
  <si>
    <t>Asset Registration ID</t>
  </si>
  <si>
    <t>Tool Evaluation Status</t>
  </si>
  <si>
    <t>Reviewer Evaluation Status</t>
  </si>
  <si>
    <t>Reviewer Final Comments</t>
  </si>
  <si>
    <t>Total Applicable Checklist Items</t>
  </si>
  <si>
    <t>Total Autoapproved</t>
  </si>
  <si>
    <t>Total Not Autoapproved</t>
  </si>
  <si>
    <t>Security Foundation Parameter</t>
  </si>
  <si>
    <t>Checklist category</t>
  </si>
  <si>
    <t>Approval Status</t>
  </si>
  <si>
    <t>Strong password policy</t>
  </si>
  <si>
    <t>Secure storage of credentials / keys</t>
  </si>
  <si>
    <t>Multi-factor authentication for sensitive transactions</t>
  </si>
  <si>
    <t>Audit-trails and Logging</t>
  </si>
  <si>
    <t>Clock synchronization for all devices and servers</t>
  </si>
  <si>
    <t>Capture at least source IP address, timestamp, action owner Id, event Id and resource Id</t>
  </si>
  <si>
    <t>Differentiate events from errors</t>
  </si>
  <si>
    <t>Append only mode for trails and logs</t>
  </si>
  <si>
    <t>Use the standard APIs or libraries for logging (such as Log4j, Log4Net)</t>
  </si>
  <si>
    <t>Access Control</t>
  </si>
  <si>
    <t>Verification &amp; Validation</t>
  </si>
  <si>
    <t>Error &amp; exception handling</t>
  </si>
  <si>
    <t>Data Security &amp; Privacy</t>
  </si>
  <si>
    <t>Take users consent for data collection, retention, process, storage &amp; sharing</t>
  </si>
  <si>
    <t>Transport Layer Protection</t>
  </si>
  <si>
    <t>Business Logic Security</t>
  </si>
  <si>
    <t>Do not complicate implementation</t>
  </si>
  <si>
    <t>Safe UUID, Random Numbers Generation</t>
  </si>
  <si>
    <t>Defense in Depth</t>
  </si>
  <si>
    <t>Insist acknowledgment</t>
  </si>
  <si>
    <t>Changes in logic must be approved at all levels</t>
  </si>
  <si>
    <t>Avoid using home-grown cryptographic algorithms</t>
  </si>
  <si>
    <t>Use different keys for different applications</t>
  </si>
  <si>
    <t>Privilege Management</t>
  </si>
  <si>
    <t>Resource Management &amp; Synchronization</t>
  </si>
  <si>
    <t>During declaration, initialize all variables with accepted default values</t>
  </si>
  <si>
    <t>Do not take values for variable initiation as is from users</t>
  </si>
  <si>
    <t>Avoid performing complex calculations during initialization</t>
  </si>
  <si>
    <t>Avoid declaring Global, Public or static variables</t>
  </si>
  <si>
    <t>For Multi-threading applications, use synchronization primitives</t>
  </si>
  <si>
    <t>Perform SAST &amp; Code Walk-through</t>
  </si>
  <si>
    <t>Avoid compiler optimization for threaded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</si>
</sst>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scheme val="minor"/>
    </font>
    <font>
      <b/>
      <sz val="10"/>
      <color theme="1"/>
      <name val="Calibri"/>
      <family val="2"/>
      <scheme val="minor"/>
    </font>
    <font>
      <sz val="10"/>
      <color theme="1"/>
      <name val="Calibri"/>
      <family val="2"/>
      <scheme val="minor"/>
    </font>
    <font>
      <sz val="11"/>
      <color indexed="8"/>
      <name val="Calibri"/>
      <family val="2"/>
    </font>
    <font>
      <b/>
      <sz val="14"/>
      <color theme="1"/>
      <name val="Calibri"/>
      <family val="2"/>
      <scheme val="minor"/>
    </font>
    <font>
      <sz val="14"/>
      <color theme="1"/>
      <name val="Calibri"/>
      <family val="2"/>
      <scheme val="minor"/>
    </font>
    <font>
      <sz val="11"/>
      <color indexed="8"/>
      <name val="Calibri"/>
      <family val="2"/>
      <charset val="1"/>
    </font>
    <font>
      <b/>
      <sz val="11"/>
      <color theme="0"/>
      <name val="Calibri"/>
      <family val="2"/>
    </font>
    <font>
      <b/>
      <sz val="10"/>
      <color theme="0"/>
      <name val="Calibri"/>
      <family val="2"/>
    </font>
    <font>
      <sz val="9"/>
      <color theme="1"/>
      <name val="Calibri"/>
      <family val="2"/>
      <scheme val="minor"/>
    </font>
    <font>
      <sz val="9"/>
      <color rgb="FF000000"/>
      <name val="Calibri"/>
      <family val="2"/>
    </font>
    <font>
      <sz val="9"/>
      <color indexed="8"/>
      <name val="Calibri"/>
      <family val="2"/>
    </font>
    <font>
      <sz val="9"/>
      <name val="Calibri"/>
      <family val="2"/>
    </font>
    <font>
      <sz val="9"/>
      <color rgb="FF444444"/>
      <name val="Calibri"/>
      <family val="2"/>
      <charset val="1"/>
    </font>
    <font>
      <b/>
      <sz val="10"/>
      <color theme="0"/>
      <name val="Calibri"/>
      <family val="2"/>
      <scheme val="minor"/>
    </font>
    <font>
      <sz val="10"/>
      <color rgb="FF000000"/>
      <name val="Calibri"/>
      <family val="2"/>
    </font>
    <font>
      <sz val="11"/>
      <color rgb="FFE41165"/>
      <name val="Calibri"/>
      <family val="2"/>
    </font>
    <font>
      <b/>
      <sz val="11"/>
      <color rgb="FFFFFFFF"/>
      <name val="Calibri"/>
      <family val="2"/>
      <scheme val="minor"/>
    </font>
    <font>
      <strike/>
      <sz val="9"/>
      <color theme="1"/>
      <name val="Calibri"/>
      <family val="2"/>
      <scheme val="minor"/>
    </font>
    <font>
      <sz val="11"/>
      <color theme="1"/>
      <name val="Calibri"/>
      <family val="2"/>
    </font>
    <font>
      <sz val="9"/>
      <color theme="1"/>
      <name val="Calibri"/>
      <family val="2"/>
    </font>
    <font>
      <strike/>
      <sz val="9"/>
      <color theme="1"/>
      <name val="Calibri"/>
      <family val="2"/>
    </font>
    <font>
      <b/>
      <sz val="11"/>
      <name val="Calibri"/>
      <family val="2"/>
      <scheme val="minor"/>
    </font>
    <font>
      <sz val="11"/>
      <name val="Calibri"/>
      <family val="2"/>
      <scheme val="minor"/>
    </font>
  </fonts>
  <fills count="11">
    <fill>
      <patternFill patternType="none"/>
    </fill>
    <fill>
      <patternFill patternType="gray125"/>
    </fill>
    <fill>
      <patternFill patternType="solid">
        <fgColor theme="1" tint="0.34998626667073579"/>
        <bgColor indexed="48"/>
      </patternFill>
    </fill>
    <fill>
      <patternFill patternType="solid">
        <fgColor rgb="FFE41165"/>
        <bgColor indexed="27"/>
      </patternFill>
    </fill>
    <fill>
      <patternFill patternType="solid">
        <fgColor rgb="FFA9D08E"/>
        <bgColor indexed="64"/>
      </patternFill>
    </fill>
    <fill>
      <patternFill patternType="solid">
        <fgColor rgb="FFE41165"/>
        <bgColor indexed="64"/>
      </patternFill>
    </fill>
    <fill>
      <patternFill patternType="solid">
        <fgColor theme="1" tint="0.34998626667073579"/>
        <bgColor indexed="64"/>
      </patternFill>
    </fill>
    <fill>
      <patternFill patternType="solid">
        <fgColor rgb="FFD9D9D9"/>
        <bgColor indexed="64"/>
      </patternFill>
    </fill>
    <fill>
      <patternFill patternType="solid">
        <fgColor rgb="FF595959"/>
        <bgColor indexed="64"/>
      </patternFill>
    </fill>
    <fill>
      <patternFill patternType="solid">
        <fgColor theme="0" tint="-4.9989318521683403E-2"/>
        <bgColor indexed="64"/>
      </patternFill>
    </fill>
    <fill>
      <patternFill patternType="solid">
        <fgColor theme="6" tint="0.79998168889431442"/>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indexed="8"/>
      </right>
      <top style="thin">
        <color indexed="8"/>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right/>
      <top style="thin">
        <color indexed="64"/>
      </top>
      <bottom/>
      <diagonal/>
    </border>
    <border>
      <left style="thin">
        <color rgb="FF000000"/>
      </left>
      <right/>
      <top/>
      <bottom style="thin">
        <color rgb="FF000000"/>
      </bottom>
      <diagonal/>
    </border>
    <border>
      <left style="thin">
        <color rgb="FF000000"/>
      </left>
      <right style="thin">
        <color rgb="FF000000"/>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0" fontId="3" fillId="0" borderId="0"/>
    <xf numFmtId="0" fontId="6" fillId="0" borderId="0"/>
  </cellStyleXfs>
  <cellXfs count="116">
    <xf numFmtId="0" fontId="0" fillId="0" borderId="0" xfId="0"/>
    <xf numFmtId="0" fontId="0" fillId="0" borderId="0" xfId="0" applyAlignment="1">
      <alignment vertical="top" wrapText="1"/>
    </xf>
    <xf numFmtId="0" fontId="2" fillId="0" borderId="0" xfId="0" applyFont="1" applyAlignment="1">
      <alignment vertical="top" wrapText="1"/>
    </xf>
    <xf numFmtId="0" fontId="8" fillId="3" borderId="2" xfId="1" applyFont="1" applyFill="1" applyBorder="1" applyAlignment="1" applyProtection="1">
      <alignment horizontal="left" vertical="top" wrapText="1"/>
      <protection locked="0"/>
    </xf>
    <xf numFmtId="0" fontId="8" fillId="3" borderId="2" xfId="1" applyFont="1" applyFill="1" applyBorder="1" applyAlignment="1" applyProtection="1">
      <alignment vertical="top" wrapText="1"/>
      <protection locked="0"/>
    </xf>
    <xf numFmtId="0" fontId="9" fillId="0" borderId="3" xfId="0" applyFont="1" applyBorder="1" applyAlignment="1" applyProtection="1">
      <alignment vertical="top" wrapText="1"/>
      <protection hidden="1"/>
    </xf>
    <xf numFmtId="0" fontId="8" fillId="3" borderId="4" xfId="1" applyFont="1" applyFill="1" applyBorder="1" applyAlignment="1" applyProtection="1">
      <alignment vertical="top" wrapText="1"/>
      <protection locked="0"/>
    </xf>
    <xf numFmtId="0" fontId="8" fillId="3" borderId="5" xfId="1" applyFont="1" applyFill="1" applyBorder="1" applyAlignment="1" applyProtection="1">
      <alignment vertical="top" wrapText="1"/>
      <protection locked="0"/>
    </xf>
    <xf numFmtId="0" fontId="8" fillId="3" borderId="9" xfId="1" applyFont="1" applyFill="1" applyBorder="1" applyAlignment="1" applyProtection="1">
      <alignment horizontal="center" vertical="top" wrapText="1"/>
      <protection locked="0"/>
    </xf>
    <xf numFmtId="0" fontId="8" fillId="3" borderId="3" xfId="1" applyFont="1" applyFill="1" applyBorder="1" applyAlignment="1" applyProtection="1">
      <alignment horizontal="center" vertical="top" wrapText="1"/>
      <protection locked="0"/>
    </xf>
    <xf numFmtId="0" fontId="14" fillId="5" borderId="6" xfId="0" applyFont="1" applyFill="1" applyBorder="1" applyProtection="1">
      <protection locked="0"/>
    </xf>
    <xf numFmtId="0" fontId="0" fillId="0" borderId="10" xfId="0" applyBorder="1" applyProtection="1">
      <protection hidden="1"/>
    </xf>
    <xf numFmtId="0" fontId="0" fillId="0" borderId="3" xfId="0" applyBorder="1" applyProtection="1">
      <protection locked="0"/>
    </xf>
    <xf numFmtId="0" fontId="2" fillId="0" borderId="3" xfId="0" applyFont="1" applyBorder="1" applyProtection="1">
      <protection locked="0"/>
    </xf>
    <xf numFmtId="0" fontId="0" fillId="0" borderId="0" xfId="0" applyProtection="1">
      <protection locked="0"/>
    </xf>
    <xf numFmtId="0" fontId="14" fillId="6" borderId="1" xfId="0" applyFont="1" applyFill="1" applyBorder="1" applyProtection="1">
      <protection locked="0"/>
    </xf>
    <xf numFmtId="0" fontId="14" fillId="5" borderId="11" xfId="0" applyFont="1" applyFill="1" applyBorder="1" applyAlignment="1" applyProtection="1">
      <alignment vertical="top" wrapText="1"/>
      <protection locked="0"/>
    </xf>
    <xf numFmtId="0" fontId="14" fillId="5" borderId="1" xfId="0" applyFont="1" applyFill="1" applyBorder="1" applyAlignment="1" applyProtection="1">
      <alignment horizontal="center"/>
      <protection locked="0"/>
    </xf>
    <xf numFmtId="0" fontId="14" fillId="5" borderId="2" xfId="0" applyFont="1" applyFill="1" applyBorder="1" applyAlignment="1" applyProtection="1">
      <alignment horizontal="center"/>
      <protection locked="0"/>
    </xf>
    <xf numFmtId="15" fontId="0" fillId="0" borderId="1" xfId="0" applyNumberFormat="1" applyBorder="1" applyAlignment="1">
      <alignment horizontal="center" vertical="top"/>
    </xf>
    <xf numFmtId="0" fontId="0" fillId="0" borderId="3" xfId="0" applyBorder="1" applyAlignment="1">
      <alignment vertical="top"/>
    </xf>
    <xf numFmtId="49" fontId="0" fillId="0" borderId="1" xfId="0" applyNumberFormat="1" applyBorder="1" applyAlignment="1">
      <alignment horizontal="center" vertical="top"/>
    </xf>
    <xf numFmtId="0" fontId="0" fillId="0" borderId="3" xfId="0" applyBorder="1" applyAlignment="1" applyProtection="1">
      <alignment vertical="top"/>
      <protection locked="0"/>
    </xf>
    <xf numFmtId="0" fontId="5" fillId="0" borderId="0" xfId="0" applyFont="1" applyAlignment="1">
      <alignment horizontal="left" vertical="top" wrapText="1"/>
    </xf>
    <xf numFmtId="0" fontId="5" fillId="0" borderId="0" xfId="0" applyFont="1" applyAlignment="1">
      <alignment vertical="top" wrapText="1"/>
    </xf>
    <xf numFmtId="0" fontId="4" fillId="0" borderId="0" xfId="0" applyFont="1" applyAlignment="1">
      <alignment horizontal="center" vertical="top" wrapText="1"/>
    </xf>
    <xf numFmtId="0" fontId="5" fillId="0" borderId="0" xfId="0" applyFont="1" applyAlignment="1">
      <alignment horizontal="center" vertical="top" wrapText="1"/>
    </xf>
    <xf numFmtId="0" fontId="0" fillId="0" borderId="0" xfId="0" applyAlignment="1" applyProtection="1">
      <alignment vertical="top"/>
      <protection locked="0"/>
    </xf>
    <xf numFmtId="0" fontId="1" fillId="0" borderId="21" xfId="0" applyFont="1" applyBorder="1" applyAlignment="1" applyProtection="1">
      <alignment wrapText="1"/>
      <protection locked="0"/>
    </xf>
    <xf numFmtId="0" fontId="17" fillId="8" borderId="22" xfId="0" applyFont="1" applyFill="1" applyBorder="1" applyAlignment="1">
      <alignment vertical="top" wrapText="1"/>
    </xf>
    <xf numFmtId="0" fontId="14" fillId="5" borderId="1" xfId="0" applyFont="1" applyFill="1" applyBorder="1" applyAlignment="1" applyProtection="1">
      <alignment wrapText="1"/>
      <protection locked="0"/>
    </xf>
    <xf numFmtId="49" fontId="0" fillId="0" borderId="0" xfId="0" applyNumberFormat="1" applyAlignment="1">
      <alignment horizontal="center"/>
    </xf>
    <xf numFmtId="15" fontId="0" fillId="0" borderId="3" xfId="0" applyNumberFormat="1" applyBorder="1" applyAlignment="1">
      <alignment horizontal="center" vertical="center"/>
    </xf>
    <xf numFmtId="0" fontId="0" fillId="0" borderId="0" xfId="0" applyAlignment="1">
      <alignment horizontal="left"/>
    </xf>
    <xf numFmtId="0" fontId="0" fillId="0" borderId="1" xfId="0" applyBorder="1" applyAlignment="1">
      <alignment vertical="top"/>
    </xf>
    <xf numFmtId="0" fontId="0" fillId="0" borderId="1" xfId="0" applyBorder="1" applyAlignment="1">
      <alignment vertical="top" wrapText="1"/>
    </xf>
    <xf numFmtId="15" fontId="0" fillId="0" borderId="0" xfId="0" applyNumberFormat="1" applyAlignment="1">
      <alignment horizontal="center" vertical="top"/>
    </xf>
    <xf numFmtId="49" fontId="0" fillId="0" borderId="0" xfId="0" applyNumberFormat="1" applyAlignment="1">
      <alignment horizontal="center" vertical="top"/>
    </xf>
    <xf numFmtId="0" fontId="9" fillId="0" borderId="10" xfId="0" applyFont="1" applyBorder="1" applyAlignment="1" applyProtection="1">
      <alignment vertical="top" wrapText="1"/>
      <protection hidden="1"/>
    </xf>
    <xf numFmtId="0" fontId="13" fillId="0" borderId="3" xfId="0" quotePrefix="1" applyFont="1" applyBorder="1" applyAlignment="1" applyProtection="1">
      <alignment vertical="top" wrapText="1"/>
      <protection hidden="1"/>
    </xf>
    <xf numFmtId="0" fontId="9" fillId="0" borderId="3" xfId="0" applyFont="1" applyBorder="1" applyAlignment="1" applyProtection="1">
      <alignment horizontal="center" vertical="top" wrapText="1"/>
      <protection hidden="1"/>
    </xf>
    <xf numFmtId="0" fontId="10" fillId="4" borderId="3" xfId="0" applyFont="1" applyFill="1" applyBorder="1" applyAlignment="1" applyProtection="1">
      <alignment vertical="top" wrapText="1"/>
      <protection hidden="1"/>
    </xf>
    <xf numFmtId="0" fontId="9" fillId="0" borderId="3" xfId="0" applyFont="1" applyBorder="1" applyAlignment="1" applyProtection="1">
      <alignment horizontal="center" vertical="top"/>
      <protection hidden="1"/>
    </xf>
    <xf numFmtId="0" fontId="20" fillId="0" borderId="3" xfId="1" applyFont="1" applyBorder="1" applyAlignment="1" applyProtection="1">
      <alignment horizontal="left" vertical="top" wrapText="1"/>
      <protection hidden="1"/>
    </xf>
    <xf numFmtId="0" fontId="20" fillId="0" borderId="3" xfId="0" applyFont="1" applyBorder="1" applyAlignment="1" applyProtection="1">
      <alignment vertical="top" wrapText="1"/>
      <protection hidden="1"/>
    </xf>
    <xf numFmtId="0" fontId="11" fillId="0" borderId="3" xfId="1" applyFont="1" applyBorder="1" applyAlignment="1" applyProtection="1">
      <alignment horizontal="center" vertical="top" wrapText="1"/>
      <protection hidden="1"/>
    </xf>
    <xf numFmtId="0" fontId="9" fillId="0" borderId="3" xfId="0" applyFont="1" applyBorder="1" applyAlignment="1" applyProtection="1">
      <alignment horizontal="left" vertical="top" wrapText="1"/>
      <protection hidden="1"/>
    </xf>
    <xf numFmtId="0" fontId="10" fillId="4" borderId="3" xfId="0" applyFont="1" applyFill="1" applyBorder="1" applyAlignment="1" applyProtection="1">
      <alignment horizontal="left" vertical="top" wrapText="1"/>
      <protection hidden="1"/>
    </xf>
    <xf numFmtId="0" fontId="9" fillId="4" borderId="3" xfId="0" applyFont="1" applyFill="1" applyBorder="1" applyAlignment="1" applyProtection="1">
      <alignment vertical="top" wrapText="1"/>
      <protection hidden="1"/>
    </xf>
    <xf numFmtId="0" fontId="10" fillId="4" borderId="3" xfId="0" applyFont="1" applyFill="1" applyBorder="1" applyAlignment="1" applyProtection="1">
      <alignment horizontal="left" wrapText="1"/>
      <protection hidden="1"/>
    </xf>
    <xf numFmtId="0" fontId="9" fillId="0" borderId="3" xfId="0" applyFont="1" applyBorder="1" applyAlignment="1" applyProtection="1">
      <alignment vertical="top"/>
      <protection hidden="1"/>
    </xf>
    <xf numFmtId="0" fontId="10" fillId="4" borderId="3" xfId="0" applyFont="1" applyFill="1" applyBorder="1" applyAlignment="1" applyProtection="1">
      <alignment wrapText="1"/>
      <protection hidden="1"/>
    </xf>
    <xf numFmtId="0" fontId="10" fillId="0" borderId="3" xfId="0" applyFont="1" applyBorder="1" applyAlignment="1" applyProtection="1">
      <alignment vertical="top" wrapText="1"/>
      <protection hidden="1"/>
    </xf>
    <xf numFmtId="0" fontId="20" fillId="0" borderId="3" xfId="0" applyFont="1" applyBorder="1" applyAlignment="1" applyProtection="1">
      <alignment vertical="top"/>
      <protection hidden="1"/>
    </xf>
    <xf numFmtId="0" fontId="9" fillId="0" borderId="4" xfId="0" applyFont="1" applyBorder="1" applyAlignment="1" applyProtection="1">
      <alignment horizontal="center" vertical="top"/>
      <protection hidden="1"/>
    </xf>
    <xf numFmtId="0" fontId="9" fillId="4" borderId="4" xfId="0" applyFont="1" applyFill="1" applyBorder="1" applyAlignment="1" applyProtection="1">
      <alignment vertical="top" wrapText="1"/>
      <protection hidden="1"/>
    </xf>
    <xf numFmtId="0" fontId="9" fillId="0" borderId="4" xfId="0" applyFont="1" applyBorder="1" applyAlignment="1" applyProtection="1">
      <alignment vertical="top" wrapText="1"/>
      <protection hidden="1"/>
    </xf>
    <xf numFmtId="0" fontId="0" fillId="0" borderId="1" xfId="0" applyBorder="1" applyProtection="1">
      <protection hidden="1"/>
    </xf>
    <xf numFmtId="0" fontId="2" fillId="0" borderId="3" xfId="0" applyFont="1" applyBorder="1" applyAlignment="1" applyProtection="1">
      <alignment vertical="top" wrapText="1"/>
      <protection hidden="1"/>
    </xf>
    <xf numFmtId="0" fontId="9" fillId="0" borderId="0" xfId="0" applyFont="1" applyAlignment="1" applyProtection="1">
      <alignment vertical="top" wrapText="1"/>
      <protection locked="0"/>
    </xf>
    <xf numFmtId="0" fontId="8" fillId="3" borderId="2" xfId="1" applyFont="1" applyFill="1" applyBorder="1" applyAlignment="1" applyProtection="1">
      <alignment horizontal="center" vertical="top" wrapText="1"/>
      <protection locked="0"/>
    </xf>
    <xf numFmtId="0" fontId="9" fillId="0" borderId="3" xfId="0" applyFont="1" applyBorder="1" applyAlignment="1" applyProtection="1">
      <alignment horizontal="center" vertical="top"/>
      <protection locked="0"/>
    </xf>
    <xf numFmtId="0" fontId="9" fillId="0" borderId="3" xfId="0" applyFont="1" applyBorder="1" applyAlignment="1" applyProtection="1">
      <alignment vertical="top" wrapText="1"/>
      <protection locked="0"/>
    </xf>
    <xf numFmtId="0" fontId="9" fillId="0" borderId="3" xfId="0" applyFont="1" applyBorder="1" applyAlignment="1" applyProtection="1">
      <alignment horizontal="center" vertical="top" wrapText="1"/>
      <protection locked="0"/>
    </xf>
    <xf numFmtId="0" fontId="9" fillId="0" borderId="4" xfId="0" applyFont="1" applyBorder="1" applyAlignment="1" applyProtection="1">
      <alignment vertical="top" wrapText="1"/>
      <protection locked="0"/>
    </xf>
    <xf numFmtId="0" fontId="12" fillId="0" borderId="3" xfId="1" applyFont="1" applyBorder="1" applyAlignment="1" applyProtection="1">
      <alignment horizontal="left" vertical="top" wrapText="1"/>
      <protection hidden="1"/>
    </xf>
    <xf numFmtId="0" fontId="14" fillId="6" borderId="1" xfId="0" applyFont="1" applyFill="1" applyBorder="1" applyAlignment="1">
      <alignment wrapText="1"/>
    </xf>
    <xf numFmtId="0" fontId="0" fillId="0" borderId="23" xfId="0" applyBorder="1" applyAlignment="1" applyProtection="1">
      <alignment vertical="top"/>
      <protection locked="0"/>
    </xf>
    <xf numFmtId="0" fontId="0" fillId="0" borderId="3" xfId="0" applyBorder="1" applyAlignment="1" applyProtection="1">
      <alignment vertical="top" wrapText="1"/>
      <protection locked="0"/>
    </xf>
    <xf numFmtId="0" fontId="14" fillId="5" borderId="15" xfId="0" applyFont="1" applyFill="1" applyBorder="1" applyAlignment="1">
      <alignment vertical="top" wrapText="1"/>
    </xf>
    <xf numFmtId="0" fontId="14" fillId="5" borderId="9" xfId="0" applyFont="1" applyFill="1" applyBorder="1" applyAlignment="1">
      <alignment vertical="top" wrapText="1"/>
    </xf>
    <xf numFmtId="0" fontId="14" fillId="6" borderId="24" xfId="0" applyFont="1" applyFill="1" applyBorder="1" applyAlignment="1">
      <alignment vertical="top" wrapText="1"/>
    </xf>
    <xf numFmtId="0" fontId="0" fillId="0" borderId="10" xfId="0" applyBorder="1" applyAlignment="1" applyProtection="1">
      <alignment vertical="top"/>
      <protection locked="0"/>
    </xf>
    <xf numFmtId="0" fontId="1" fillId="10" borderId="0" xfId="0" applyFont="1" applyFill="1" applyAlignment="1">
      <alignment horizontal="left" vertical="top" wrapText="1"/>
    </xf>
    <xf numFmtId="0" fontId="2" fillId="0" borderId="0" xfId="0" applyFont="1" applyAlignment="1">
      <alignment horizontal="left" vertical="top" wrapText="1"/>
    </xf>
    <xf numFmtId="0" fontId="22" fillId="10" borderId="3" xfId="0" applyFont="1" applyFill="1" applyBorder="1" applyAlignment="1">
      <alignment horizontal="center" vertical="center" wrapText="1"/>
    </xf>
    <xf numFmtId="0" fontId="0" fillId="0" borderId="3" xfId="0" applyBorder="1" applyAlignment="1">
      <alignment horizontal="center" vertical="center" wrapText="1"/>
    </xf>
    <xf numFmtId="0" fontId="23" fillId="0" borderId="3" xfId="0" applyFont="1" applyBorder="1" applyAlignment="1">
      <alignment horizontal="center" vertical="center" wrapText="1"/>
    </xf>
    <xf numFmtId="0" fontId="0" fillId="0" borderId="0" xfId="0" applyAlignment="1">
      <alignment wrapText="1"/>
    </xf>
    <xf numFmtId="0" fontId="0" fillId="0" borderId="0" xfId="0" applyAlignment="1" applyProtection="1">
      <alignment vertical="top" wrapText="1"/>
      <protection locked="0"/>
    </xf>
    <xf numFmtId="0" fontId="2" fillId="0" borderId="0" xfId="0" applyFont="1" applyAlignment="1" applyProtection="1">
      <alignment vertical="top" wrapText="1"/>
      <protection locked="0"/>
    </xf>
    <xf numFmtId="0" fontId="22" fillId="10" borderId="3" xfId="0" applyFont="1" applyFill="1" applyBorder="1" applyAlignment="1" applyProtection="1">
      <alignment horizontal="center" vertical="center" wrapText="1"/>
      <protection locked="0"/>
    </xf>
    <xf numFmtId="0" fontId="0" fillId="0" borderId="3" xfId="0" applyBorder="1" applyAlignment="1" applyProtection="1">
      <alignment horizontal="center" vertical="center" wrapText="1"/>
      <protection locked="0"/>
    </xf>
    <xf numFmtId="0" fontId="7" fillId="2" borderId="3" xfId="2" applyFont="1" applyFill="1" applyBorder="1" applyAlignment="1" applyProtection="1">
      <alignment horizontal="center" vertical="top"/>
      <protection locked="0"/>
    </xf>
    <xf numFmtId="0" fontId="7" fillId="2" borderId="6" xfId="2" applyFont="1" applyFill="1" applyBorder="1" applyAlignment="1" applyProtection="1">
      <alignment horizontal="center" vertical="top"/>
      <protection locked="0"/>
    </xf>
    <xf numFmtId="0" fontId="7" fillId="2" borderId="7" xfId="2" applyFont="1" applyFill="1" applyBorder="1" applyAlignment="1" applyProtection="1">
      <alignment horizontal="center" vertical="top"/>
      <protection locked="0"/>
    </xf>
    <xf numFmtId="0" fontId="7" fillId="2" borderId="8" xfId="2" applyFont="1" applyFill="1" applyBorder="1" applyAlignment="1" applyProtection="1">
      <alignment horizontal="center" vertical="top"/>
      <protection locked="0"/>
    </xf>
    <xf numFmtId="0" fontId="7" fillId="2" borderId="0" xfId="2" applyFont="1" applyFill="1" applyAlignment="1" applyProtection="1">
      <alignment horizontal="center" vertical="top"/>
      <protection locked="0"/>
    </xf>
    <xf numFmtId="0" fontId="14" fillId="6" borderId="13" xfId="0" applyFont="1" applyFill="1" applyBorder="1" applyAlignment="1" applyProtection="1">
      <alignment horizontal="center"/>
      <protection locked="0"/>
    </xf>
    <xf numFmtId="0" fontId="0" fillId="0" borderId="14" xfId="0" applyBorder="1" applyAlignment="1">
      <alignment horizontal="center"/>
    </xf>
    <xf numFmtId="0" fontId="14" fillId="5" borderId="15" xfId="0" applyFont="1" applyFill="1" applyBorder="1" applyAlignment="1" applyProtection="1">
      <alignment horizontal="center"/>
      <protection locked="0"/>
    </xf>
    <xf numFmtId="0" fontId="0" fillId="0" borderId="16" xfId="0" applyBorder="1" applyAlignment="1">
      <alignment horizontal="center"/>
    </xf>
    <xf numFmtId="0" fontId="0" fillId="0" borderId="17" xfId="0" applyBorder="1" applyAlignment="1">
      <alignment horizontal="center"/>
    </xf>
    <xf numFmtId="0" fontId="19" fillId="0" borderId="18" xfId="0" applyFont="1"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14" fillId="6" borderId="13" xfId="0" applyFont="1" applyFill="1" applyBorder="1" applyAlignment="1" applyProtection="1">
      <alignment horizontal="center" wrapText="1"/>
      <protection locked="0"/>
    </xf>
    <xf numFmtId="15" fontId="0" fillId="0" borderId="0" xfId="0" applyNumberFormat="1" applyAlignment="1">
      <alignment horizontal="center" wrapText="1"/>
    </xf>
    <xf numFmtId="15" fontId="0" fillId="0" borderId="0" xfId="0" applyNumberFormat="1" applyAlignment="1">
      <alignment horizontal="center"/>
    </xf>
    <xf numFmtId="0" fontId="14" fillId="5" borderId="3" xfId="0" applyFont="1" applyFill="1" applyBorder="1" applyAlignment="1" applyProtection="1">
      <alignment horizontal="center" wrapText="1"/>
      <protection locked="0"/>
    </xf>
    <xf numFmtId="0" fontId="14" fillId="5" borderId="4" xfId="0" applyFont="1" applyFill="1" applyBorder="1" applyAlignment="1" applyProtection="1">
      <alignment horizontal="center" wrapText="1"/>
      <protection locked="0"/>
    </xf>
    <xf numFmtId="0" fontId="1" fillId="10" borderId="1" xfId="0" applyFont="1" applyFill="1" applyBorder="1" applyAlignment="1">
      <alignment horizontal="left" vertical="top" wrapText="1"/>
    </xf>
    <xf numFmtId="0" fontId="2" fillId="0" borderId="15" xfId="0" applyFont="1" applyBorder="1" applyAlignment="1" applyProtection="1">
      <alignment horizontal="center" vertical="top" wrapText="1"/>
      <protection locked="0"/>
    </xf>
    <xf numFmtId="0" fontId="2" fillId="0" borderId="16" xfId="0" applyFont="1" applyBorder="1" applyAlignment="1" applyProtection="1">
      <alignment horizontal="center" vertical="top" wrapText="1"/>
      <protection locked="0"/>
    </xf>
    <xf numFmtId="0" fontId="2" fillId="0" borderId="17" xfId="0" applyFont="1" applyBorder="1" applyAlignment="1" applyProtection="1">
      <alignment horizontal="center" vertical="top" wrapText="1"/>
      <protection locked="0"/>
    </xf>
    <xf numFmtId="0" fontId="1" fillId="9" borderId="1" xfId="0" applyFont="1" applyFill="1" applyBorder="1" applyAlignment="1">
      <alignment horizontal="center" vertical="top" wrapText="1"/>
    </xf>
    <xf numFmtId="0" fontId="0" fillId="10" borderId="1" xfId="0" applyFill="1" applyBorder="1" applyAlignment="1">
      <alignment horizontal="center" vertical="top" wrapText="1"/>
    </xf>
    <xf numFmtId="0" fontId="0" fillId="0" borderId="1" xfId="0" applyBorder="1" applyAlignment="1" applyProtection="1">
      <alignment horizontal="left" vertical="top" wrapText="1"/>
      <protection locked="0"/>
    </xf>
    <xf numFmtId="0" fontId="1" fillId="0" borderId="1" xfId="0" applyFont="1" applyBorder="1" applyAlignment="1" applyProtection="1">
      <alignment horizontal="left" vertical="top" wrapText="1"/>
      <protection locked="0"/>
    </xf>
    <xf numFmtId="0" fontId="15" fillId="7" borderId="4" xfId="0" applyFont="1" applyFill="1" applyBorder="1" applyAlignment="1">
      <alignment horizontal="left" vertical="top" wrapText="1"/>
    </xf>
    <xf numFmtId="0" fontId="15" fillId="7" borderId="12" xfId="0" applyFont="1" applyFill="1" applyBorder="1" applyAlignment="1">
      <alignment horizontal="left" vertical="top" wrapText="1"/>
    </xf>
    <xf numFmtId="0" fontId="15" fillId="7" borderId="10" xfId="0" applyFont="1" applyFill="1" applyBorder="1" applyAlignment="1">
      <alignment horizontal="left" vertical="top" wrapText="1"/>
    </xf>
    <xf numFmtId="0" fontId="15" fillId="7" borderId="3" xfId="0" applyFont="1" applyFill="1" applyBorder="1" applyAlignment="1">
      <alignment horizontal="left" vertical="top" wrapText="1"/>
    </xf>
    <xf numFmtId="0" fontId="15" fillId="0" borderId="3" xfId="0" applyFont="1" applyBorder="1" applyAlignment="1">
      <alignment vertical="top" wrapText="1"/>
    </xf>
    <xf numFmtId="0" fontId="15" fillId="0" borderId="8" xfId="0" applyFont="1" applyBorder="1" applyAlignment="1">
      <alignment vertical="top" wrapText="1"/>
    </xf>
    <xf numFmtId="0" fontId="15" fillId="0" borderId="3" xfId="0" applyFont="1" applyBorder="1" applyAlignment="1">
      <alignment vertical="top"/>
    </xf>
  </cellXfs>
  <cellStyles count="3">
    <cellStyle name="Excel Built-in Normal" xfId="2" xr:uid="{8B3C2E89-4AA7-4BCA-BDF1-1AEB0D651525}"/>
    <cellStyle name="Normal" xfId="0" builtinId="0"/>
    <cellStyle name="Normal 2" xfId="1" xr:uid="{B06519A1-C34D-4E1B-AF8E-D3C671E4C3AC}"/>
  </cellStyles>
  <dxfs count="2">
    <dxf>
      <font>
        <color rgb="FF000000"/>
      </font>
      <fill>
        <patternFill patternType="solid">
          <bgColor rgb="FFFFC7CE"/>
        </patternFill>
      </fill>
    </dxf>
    <dxf>
      <font>
        <color rgb="FF000000"/>
      </font>
      <fill>
        <patternFill patternType="solid">
          <bgColor rgb="FFBFBFB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1C56C-E84A-49F7-835E-7952321BB216}">
  <dimension ref="A1:H16"/>
  <sheetViews>
    <sheetView topLeftCell="A4" zoomScale="85" zoomScaleNormal="85" workbookViewId="0">
      <selection activeCell="H7" sqref="H7"/>
    </sheetView>
  </sheetViews>
  <sheetFormatPr defaultRowHeight="14.45"/>
  <cols>
    <col min="1" max="1" width="28" customWidth="1"/>
    <col min="2" max="2" width="36.140625" customWidth="1"/>
    <col min="3" max="3" width="42.140625" customWidth="1"/>
    <col min="8" max="8" width="24.140625" customWidth="1"/>
  </cols>
  <sheetData>
    <row r="1" spans="1:8">
      <c r="A1" s="96" t="s">
        <v>0</v>
      </c>
      <c r="B1" s="89"/>
    </row>
    <row r="2" spans="1:8">
      <c r="A2" s="30" t="s">
        <v>1</v>
      </c>
      <c r="B2" s="20" t="s">
        <v>2</v>
      </c>
    </row>
    <row r="3" spans="1:8">
      <c r="A3" s="30" t="s">
        <v>3</v>
      </c>
      <c r="B3" s="31" t="s">
        <v>4</v>
      </c>
    </row>
    <row r="4" spans="1:8">
      <c r="A4" s="30" t="s">
        <v>5</v>
      </c>
      <c r="B4" s="32">
        <v>45888</v>
      </c>
    </row>
    <row r="5" spans="1:8">
      <c r="A5" s="33"/>
    </row>
    <row r="6" spans="1:8">
      <c r="A6" s="88" t="s">
        <v>6</v>
      </c>
      <c r="B6" s="89"/>
      <c r="C6" s="89"/>
    </row>
    <row r="7" spans="1:8">
      <c r="A7" s="17" t="s">
        <v>7</v>
      </c>
      <c r="B7" s="17" t="s">
        <v>8</v>
      </c>
      <c r="C7" s="18" t="s">
        <v>9</v>
      </c>
    </row>
    <row r="8" spans="1:8">
      <c r="A8" s="19">
        <v>43466</v>
      </c>
      <c r="B8" s="21" t="s">
        <v>10</v>
      </c>
      <c r="C8" s="34" t="s">
        <v>11</v>
      </c>
    </row>
    <row r="9" spans="1:8" ht="29.1">
      <c r="A9" s="19">
        <v>45075</v>
      </c>
      <c r="B9" s="21" t="s">
        <v>12</v>
      </c>
      <c r="C9" s="35" t="s">
        <v>13</v>
      </c>
    </row>
    <row r="10" spans="1:8" ht="43.5">
      <c r="A10" s="19">
        <v>45117</v>
      </c>
      <c r="B10" s="21" t="s">
        <v>14</v>
      </c>
      <c r="C10" s="35" t="s">
        <v>15</v>
      </c>
    </row>
    <row r="11" spans="1:8">
      <c r="A11" s="19">
        <v>45888</v>
      </c>
      <c r="B11" s="21" t="s">
        <v>4</v>
      </c>
      <c r="C11" s="35" t="s">
        <v>16</v>
      </c>
    </row>
    <row r="12" spans="1:8" ht="72.75" customHeight="1">
      <c r="A12" s="97" t="s">
        <v>17</v>
      </c>
      <c r="B12" s="98"/>
      <c r="C12" s="98"/>
      <c r="D12" s="98"/>
      <c r="E12" s="98"/>
      <c r="F12" s="98"/>
      <c r="G12" s="98"/>
      <c r="H12" s="98"/>
    </row>
    <row r="13" spans="1:8">
      <c r="A13" s="36"/>
      <c r="B13" s="37"/>
      <c r="C13" s="1"/>
    </row>
    <row r="15" spans="1:8">
      <c r="A15" s="90" t="s">
        <v>18</v>
      </c>
      <c r="B15" s="91"/>
      <c r="C15" s="91"/>
      <c r="D15" s="91"/>
      <c r="E15" s="91"/>
      <c r="F15" s="91"/>
      <c r="G15" s="91"/>
      <c r="H15" s="92"/>
    </row>
    <row r="16" spans="1:8" ht="163.5" customHeight="1">
      <c r="A16" s="93" t="s">
        <v>19</v>
      </c>
      <c r="B16" s="94"/>
      <c r="C16" s="94"/>
      <c r="D16" s="94"/>
      <c r="E16" s="94"/>
      <c r="F16" s="94"/>
      <c r="G16" s="94"/>
      <c r="H16" s="95"/>
    </row>
  </sheetData>
  <sheetProtection algorithmName="SHA-512" hashValue="7Db6AHTJHShabbbVWSjfz4lNjfm9T2YD/qXxiGaJsYSjdxumN98LYIoRlXBLt6QLbF+STdxOZaRyS79jtPlrUg==" saltValue="zs/L2DfRdpDnnAFlPjKzkg==" spinCount="100000" sheet="1" objects="1" scenarios="1"/>
  <mergeCells count="5">
    <mergeCell ref="A6:C6"/>
    <mergeCell ref="A15:H15"/>
    <mergeCell ref="A16:H16"/>
    <mergeCell ref="A1:B1"/>
    <mergeCell ref="A12:H12"/>
  </mergeCells>
  <pageMargins left="0.7" right="0.7" top="0.75" bottom="0.75" header="0.3" footer="0.3"/>
  <pageSetup orientation="portrait" horizontalDpi="300" verticalDpi="300" r:id="rId1"/>
  <headerFooter>
    <oddHeader>&amp;L&amp;"Calibri"&amp;10&amp;K000000TCS Internal&amp;1#</oddHeader>
    <oddFooter>&amp;L&amp;1#&amp;"Calibri"&amp;10&amp;K000000TCS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82CAE-C512-4593-8D03-6A4DC6070378}">
  <dimension ref="A1:E45"/>
  <sheetViews>
    <sheetView workbookViewId="0">
      <selection activeCell="B11" sqref="B11"/>
    </sheetView>
  </sheetViews>
  <sheetFormatPr defaultRowHeight="14.45"/>
  <cols>
    <col min="1" max="1" width="22.85546875" customWidth="1"/>
    <col min="2" max="2" width="36.42578125" customWidth="1"/>
    <col min="5" max="5" width="76" customWidth="1"/>
  </cols>
  <sheetData>
    <row r="1" spans="1:5" s="1" customFormat="1" ht="18.600000000000001">
      <c r="A1" s="69" t="s">
        <v>20</v>
      </c>
      <c r="B1" s="22" t="s">
        <v>21</v>
      </c>
      <c r="C1" s="25"/>
      <c r="D1" s="25"/>
      <c r="E1" s="25"/>
    </row>
    <row r="2" spans="1:5" s="1" customFormat="1" ht="18.600000000000001">
      <c r="A2" s="69" t="s">
        <v>22</v>
      </c>
      <c r="B2" s="22"/>
      <c r="C2" s="26"/>
      <c r="D2" s="26"/>
      <c r="E2" s="26"/>
    </row>
    <row r="3" spans="1:5" s="1" customFormat="1" ht="18.600000000000001">
      <c r="A3" s="70" t="s">
        <v>23</v>
      </c>
      <c r="B3" s="22"/>
      <c r="C3" s="23"/>
      <c r="D3" s="23"/>
      <c r="E3" s="23"/>
    </row>
    <row r="4" spans="1:5" s="1" customFormat="1" ht="18.75" customHeight="1">
      <c r="A4" s="28"/>
      <c r="B4" s="27"/>
      <c r="C4" s="23"/>
      <c r="D4" s="23"/>
      <c r="E4" s="23"/>
    </row>
    <row r="5" spans="1:5" s="2" customFormat="1" ht="18.75" customHeight="1">
      <c r="B5" s="27"/>
      <c r="C5" s="23"/>
      <c r="D5" s="23"/>
      <c r="E5" s="24"/>
    </row>
    <row r="7" spans="1:5">
      <c r="A7" s="99" t="s">
        <v>24</v>
      </c>
      <c r="B7" s="100"/>
    </row>
    <row r="8" spans="1:5">
      <c r="A8" s="29" t="s">
        <v>25</v>
      </c>
      <c r="B8" s="68"/>
    </row>
    <row r="9" spans="1:5">
      <c r="A9" s="66" t="s">
        <v>26</v>
      </c>
      <c r="B9" s="67"/>
    </row>
    <row r="10" spans="1:5" ht="17.25" customHeight="1">
      <c r="A10" s="71" t="s">
        <v>27</v>
      </c>
      <c r="B10" s="72"/>
    </row>
    <row r="11" spans="1:5" ht="26.1">
      <c r="A11" s="71" t="s">
        <v>28</v>
      </c>
      <c r="B11" s="72" t="s">
        <v>29</v>
      </c>
      <c r="C11" t="str">
        <f>IF(B11="Yes","Please fill Gen AI Audit Sheet along with regular checklist","")</f>
        <v/>
      </c>
    </row>
    <row r="45" spans="4:4">
      <c r="D45" t="str">
        <f>IF('Asset Info'!B8="Java","",IF('Asset Info'!B8="Python","",""))</f>
        <v/>
      </c>
    </row>
  </sheetData>
  <sheetProtection algorithmName="SHA-512" hashValue="/3nfwD6EITkgzGSvVDjw/6UTEBxkwRI+3SSXIum8KTyKp12TSMe7l1LMwaDiZRrLCRurnaP4/5uZfli1LuAAeg==" saltValue="GBuvd5tyA5+IVi8z5nEYrA==" spinCount="100000" sheet="1"/>
  <mergeCells count="1">
    <mergeCell ref="A7:B7"/>
  </mergeCells>
  <dataValidations count="3">
    <dataValidation type="list" allowBlank="1" showInputMessage="1" showErrorMessage="1" error="Please select from the dropdown" sqref="B8" xr:uid="{6E9FC153-7C84-48BA-A508-E4448D3B79C3}">
      <formula1>"Java,Python,.Net,Others"</formula1>
    </dataValidation>
    <dataValidation type="list" allowBlank="1" showInputMessage="1" showErrorMessage="1" errorTitle="Alert!" error="Please select from the dropdown!" sqref="B9" xr:uid="{B6BDC5D5-EED4-4895-A959-7139DCE1C047}">
      <formula1>"Internet,Intranet"</formula1>
    </dataValidation>
    <dataValidation type="list" allowBlank="1" showInputMessage="1" showErrorMessage="1" errorTitle="Alert!" error="Please select from the dropdown!" sqref="B10:B11" xr:uid="{7FED4CF8-720E-4D19-AD75-831FECA06170}">
      <formula1>"Yes,No"</formula1>
    </dataValidation>
  </dataValidations>
  <pageMargins left="0.7" right="0.7" top="0.75" bottom="0.75" header="0.3" footer="0.3"/>
  <pageSetup orientation="portrait" horizontalDpi="300" verticalDpi="300" r:id="rId1"/>
  <headerFooter>
    <oddHeader>&amp;L&amp;"Calibri"&amp;10&amp;K000000TCS Internal&amp;1#</oddHeader>
    <oddFooter>&amp;L&amp;1#&amp;"Calibri"&amp;10&amp;K000000TCS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66A8A-5D50-404A-8CB3-045CBE271363}">
  <dimension ref="A1:K196"/>
  <sheetViews>
    <sheetView tabSelected="1" zoomScaleNormal="100" workbookViewId="0">
      <selection activeCell="F3" sqref="F3"/>
    </sheetView>
  </sheetViews>
  <sheetFormatPr defaultColWidth="9.140625" defaultRowHeight="12"/>
  <cols>
    <col min="1" max="1" width="6" style="59" customWidth="1"/>
    <col min="2" max="2" width="17.85546875" style="59" customWidth="1"/>
    <col min="3" max="3" width="9.140625" style="59"/>
    <col min="4" max="4" width="27.42578125" style="59" customWidth="1"/>
    <col min="5" max="5" width="10.5703125" style="59" customWidth="1"/>
    <col min="6" max="6" width="8.5703125" style="59" customWidth="1"/>
    <col min="7" max="7" width="31.42578125" style="59" customWidth="1"/>
    <col min="8" max="8" width="27.5703125" style="59" customWidth="1"/>
    <col min="9" max="9" width="25.42578125" style="59" customWidth="1"/>
    <col min="10" max="10" width="8" style="59" customWidth="1"/>
    <col min="11" max="11" width="15.85546875" style="59" customWidth="1"/>
    <col min="12" max="16384" width="9.140625" style="59"/>
  </cols>
  <sheetData>
    <row r="1" spans="1:11" ht="14.45">
      <c r="A1" s="87" t="s">
        <v>30</v>
      </c>
      <c r="B1" s="87"/>
      <c r="C1" s="87"/>
      <c r="D1" s="87"/>
      <c r="E1" s="87"/>
      <c r="F1" s="87"/>
      <c r="G1" s="87"/>
      <c r="H1" s="87"/>
      <c r="I1" s="87"/>
      <c r="J1" s="87"/>
      <c r="K1" s="87"/>
    </row>
    <row r="2" spans="1:11" ht="33" customHeight="1">
      <c r="A2" s="6" t="s">
        <v>31</v>
      </c>
      <c r="B2" s="7" t="s">
        <v>32</v>
      </c>
      <c r="C2" s="4" t="s">
        <v>33</v>
      </c>
      <c r="D2" s="4" t="s">
        <v>34</v>
      </c>
      <c r="E2" s="4" t="s">
        <v>35</v>
      </c>
      <c r="F2" s="4" t="s">
        <v>36</v>
      </c>
      <c r="G2" s="60" t="s">
        <v>9</v>
      </c>
      <c r="H2" s="3" t="s">
        <v>37</v>
      </c>
      <c r="I2" s="3" t="s">
        <v>38</v>
      </c>
      <c r="J2" s="8" t="s">
        <v>39</v>
      </c>
      <c r="K2" s="9" t="s">
        <v>40</v>
      </c>
    </row>
    <row r="3" spans="1:11" ht="50.25" customHeight="1">
      <c r="A3" s="61">
        <v>1</v>
      </c>
      <c r="B3" s="48" t="s">
        <v>41</v>
      </c>
      <c r="C3" s="42">
        <v>1</v>
      </c>
      <c r="D3" s="5" t="s">
        <v>42</v>
      </c>
      <c r="E3" s="65" t="str">
        <f>IF(COUNTIF(F4:F6,"Yes")&gt;0,"No","Yes")</f>
        <v>Yes</v>
      </c>
      <c r="F3" s="62" t="s">
        <v>29</v>
      </c>
      <c r="G3" s="5" t="str">
        <f>IF(F3="Yes","The application connects to customer SSO/LDAP/Identity &amp; Access Management and hence no password policy managed within the application.","")</f>
        <v/>
      </c>
      <c r="H3" s="62"/>
      <c r="I3" s="62"/>
      <c r="J3" s="5" t="str">
        <f>IF(F3="Yes","Y","N")</f>
        <v>N</v>
      </c>
      <c r="K3" s="38"/>
    </row>
    <row r="4" spans="1:11" ht="48">
      <c r="A4" s="61"/>
      <c r="B4" s="5"/>
      <c r="C4" s="42">
        <v>2</v>
      </c>
      <c r="D4" s="5" t="s">
        <v>43</v>
      </c>
      <c r="E4" s="65" t="str">
        <f>IF(OR(F3="Yes",COUNTIF(F5:F6,"Yes")&gt;0),"No","Yes")</f>
        <v>Yes</v>
      </c>
      <c r="F4" s="62"/>
      <c r="G4" s="5" t="str">
        <f>IF(F4="Yes","The application is a backend application and do not have any password policy managed.","")</f>
        <v/>
      </c>
      <c r="H4" s="62"/>
      <c r="I4" s="62"/>
      <c r="J4" s="5" t="str">
        <f>IF(F4="Yes","Y","N")</f>
        <v>N</v>
      </c>
      <c r="K4" s="5"/>
    </row>
    <row r="5" spans="1:11" ht="36">
      <c r="A5" s="61"/>
      <c r="B5" s="5"/>
      <c r="C5" s="42">
        <v>3</v>
      </c>
      <c r="D5" s="5" t="s">
        <v>44</v>
      </c>
      <c r="E5" s="65" t="str">
        <f>IF(OR(COUNTIF(F3:F4,"Yes")&gt;0,F6="Yes"),"No","Yes")</f>
        <v>Yes</v>
      </c>
      <c r="F5" s="62"/>
      <c r="G5" s="5"/>
      <c r="H5" s="62"/>
      <c r="I5" s="62"/>
      <c r="J5" s="5" t="str">
        <f>J7</f>
        <v>N</v>
      </c>
      <c r="K5" s="5"/>
    </row>
    <row r="6" spans="1:11">
      <c r="A6" s="61"/>
      <c r="B6" s="5"/>
      <c r="C6" s="42">
        <v>4</v>
      </c>
      <c r="D6" s="5" t="s">
        <v>45</v>
      </c>
      <c r="E6" s="65" t="str">
        <f>IF(COUNTIF(F3:F5,"Yes")&gt;0,"No","Yes")</f>
        <v>Yes</v>
      </c>
      <c r="F6" s="62"/>
      <c r="G6" s="5"/>
      <c r="H6" s="62"/>
      <c r="I6" s="62"/>
      <c r="J6" s="5" t="s">
        <v>46</v>
      </c>
      <c r="K6" s="5" t="str">
        <f>IF(AND(F6="Yes",ISBLANK(H6)),"Please enter your comments","")</f>
        <v/>
      </c>
    </row>
    <row r="7" spans="1:11" ht="76.5" customHeight="1">
      <c r="A7" s="63"/>
      <c r="B7" s="5"/>
      <c r="C7" s="40">
        <v>3.1</v>
      </c>
      <c r="D7" s="5" t="s">
        <v>47</v>
      </c>
      <c r="E7" s="5" t="str">
        <f>IF(F5="Yes","Yes","No")</f>
        <v>No</v>
      </c>
      <c r="F7" s="62"/>
      <c r="G7" s="5" t="str">
        <f>IF(OR(F7="No",F7="NA"),"Recommend to have password policy as configurable with min and max characters, 1 special character, 1 digit, atleast 1 upper case and 1 lower case letter. It should not allow to set last 5 passwords and force the user to reset the password periodically","")</f>
        <v/>
      </c>
      <c r="H7" s="62"/>
      <c r="I7" s="62"/>
      <c r="J7" s="5" t="str">
        <f>J8</f>
        <v>N</v>
      </c>
      <c r="K7" s="5" t="str">
        <f>IF(AND(OR(F7="No",F7="NA"),ISBLANK(H7)),"Please enter your comments","")</f>
        <v/>
      </c>
    </row>
    <row r="8" spans="1:11" ht="96">
      <c r="A8" s="63"/>
      <c r="B8" s="5"/>
      <c r="C8" s="40" t="s">
        <v>48</v>
      </c>
      <c r="D8" s="5" t="str">
        <f>IF('Asset Info'!B9="Internet",_xlfn.CONCAT("Does the password policy consist of the following?
Min length 8 to 12 characters,
Max Length 50 to 64 characters,
Atleast 1 upper case letter,
Atleast 1 lower case letter,
Atleast 1 digit,
Atleast 1 special character,","
Password expiry after 30 or 60 days,
Last five passwords are not allowed to be used while resetting the password."),_xlfn.CONCAT("Does the password policy consist of the following?
Min length 8 to 12 characters,
Max Length 50 to 64 characters,",
"Atleast 1 upper case letter,
Atleast 1 lower case letter,
Atleast 1 digit,
Atleast 1 special character"
))</f>
        <v>Does the password policy consist of the following?
Min length 8 to 12 characters,
Max Length 50 to 64 characters,Atleast 1 upper case letter,
Atleast 1 lower case letter,
Atleast 1 digit,
Atleast 1 special character</v>
      </c>
      <c r="E8" s="5" t="str">
        <f>IF(AND(F5="Yes",F7="Yes"),"Yes","No")</f>
        <v>No</v>
      </c>
      <c r="F8" s="62"/>
      <c r="G8" s="5" t="str">
        <f>IF(F8="Yes","Password Policy is configurable for min and max length and it contains atleast 1 special charcater, 1 digit, 1 upper case and 1 lower case character. It will not allow to set last 5 passwords and force the user to reset the password periodically.",IF(OR(F8="No",F8="NA"),"Recommend to have password policy as configurable with min and max characters, 1 special character, 1 digit, atleast 1 upper case and 1 lower case letter. It should not allow to set last 5 passwords and force the user to reset the password periodically",""))</f>
        <v/>
      </c>
      <c r="H8" s="62"/>
      <c r="I8" s="62"/>
      <c r="J8" s="5" t="str">
        <f>IF(F8="Yes","Y","N")</f>
        <v>N</v>
      </c>
      <c r="K8" s="5" t="str">
        <f>IF(AND(OR(F8="No",F8="NA"),ISBLANK(H8)),"Please enter your comments","")</f>
        <v/>
      </c>
    </row>
    <row r="9" spans="1:11" ht="36">
      <c r="A9" s="63">
        <v>2</v>
      </c>
      <c r="B9" s="48" t="s">
        <v>49</v>
      </c>
      <c r="C9" s="40">
        <v>1</v>
      </c>
      <c r="D9" s="5" t="str">
        <f>IF(OR(F3="Yes",F4="Yes"),"NA","Does the application store user credentials in DB by salting and hashing it?")</f>
        <v>Does the application store user credentials in DB by salting and hashing it?</v>
      </c>
      <c r="E9" s="5" t="str">
        <f>IF(D9&lt;&gt;"NA","Yes","No")</f>
        <v>Yes</v>
      </c>
      <c r="F9" s="62"/>
      <c r="G9" s="5" t="str">
        <f>IF(OR(F9="No",F9="NA"),"Recommend to have store application user credenatials in DB by salting and hashing it using slow hashing algorithms like scrypt/bcrypt/PBKDF2WithHMACSHA256.PBKDF2WithHMACSHA512/Argon2id.","")</f>
        <v/>
      </c>
      <c r="H9" s="62"/>
      <c r="I9" s="62"/>
      <c r="J9" s="5" t="str">
        <f>IF(E9="No","Y",IF(OR(F9="No",F9="NA"),"N",J10))</f>
        <v>N</v>
      </c>
      <c r="K9" s="5" t="str">
        <f>IF(AND(OR(F9="No",F9="NA"),ISBLANK(H9)),"Please enter your comments","")</f>
        <v/>
      </c>
    </row>
    <row r="10" spans="1:11" ht="62.25" customHeight="1">
      <c r="A10" s="63"/>
      <c r="B10" s="5"/>
      <c r="C10" s="40">
        <v>1.1000000000000001</v>
      </c>
      <c r="D10" s="5" t="s">
        <v>50</v>
      </c>
      <c r="E10" s="5" t="str">
        <f>IF(F9="Yes","Yes","No")</f>
        <v>No</v>
      </c>
      <c r="F10" s="62"/>
      <c r="G10" s="5" t="str">
        <f>IF(F10="Yes","Application stores the user passwords in DB by salting and hashing it using slow hashing algorithms.",IF(OR(F10="No",F10="NA"),"Application stores the user passwords in DB by salting and hashing it. Recommend to use slow hashing algorithms  like scrypt/bcrypt/PBKDF2WithHMACSHA256.PBKDF2WithHMACSHA512/Argon2id.",""))</f>
        <v/>
      </c>
      <c r="H10" s="62"/>
      <c r="I10" s="62"/>
      <c r="J10" s="5" t="str">
        <f>IF(F10="Yes","Y","N")</f>
        <v>N</v>
      </c>
      <c r="K10" s="5" t="str">
        <f>IF(AND(OR(F10="No",F10="NA"),ISBLANK(H10)),"Please enter your comments","")</f>
        <v/>
      </c>
    </row>
    <row r="11" spans="1:11">
      <c r="A11" s="63">
        <v>3</v>
      </c>
      <c r="B11" s="48" t="s">
        <v>51</v>
      </c>
      <c r="C11" s="45">
        <v>1</v>
      </c>
      <c r="D11" s="43" t="s">
        <v>52</v>
      </c>
      <c r="E11" s="5" t="str">
        <f>IF(D12="NA","No",IF(F12="Yes","No","Yes"))</f>
        <v>Yes</v>
      </c>
      <c r="F11" s="62"/>
      <c r="G11" s="5" t="str">
        <f>IF(OR(F11="No","NA"),"Recommended to have uniques ID for each user.","")</f>
        <v/>
      </c>
      <c r="H11" s="62"/>
      <c r="I11" s="62"/>
      <c r="J11" s="5" t="str">
        <f>IF(D12="NA","Y",IF(F11="Yes","Y","N"))</f>
        <v>N</v>
      </c>
      <c r="K11" s="5" t="str">
        <f>IF(AND(OR(F11="No",F11="NA"),ISBLANK(H11)),"Please enter your comments","")</f>
        <v/>
      </c>
    </row>
    <row r="12" spans="1:11">
      <c r="A12" s="63"/>
      <c r="B12" s="5"/>
      <c r="C12" s="45">
        <v>2</v>
      </c>
      <c r="D12" s="43" t="str">
        <f>IF(F4="Yes","NA","Others")</f>
        <v>Others</v>
      </c>
      <c r="E12" s="5" t="str">
        <f>IF(D12="NA","No",IF(F11="Yes","No","Yes"))</f>
        <v>Yes</v>
      </c>
      <c r="F12" s="62"/>
      <c r="G12" s="5"/>
      <c r="H12" s="62"/>
      <c r="I12" s="62"/>
      <c r="J12" s="5"/>
      <c r="K12" s="5" t="str">
        <f t="shared" ref="K12" si="0">IF(AND(F12="Yes",ISBLANK(H12)),"Please enter your comments","")</f>
        <v/>
      </c>
    </row>
    <row r="13" spans="1:11" ht="60">
      <c r="A13" s="63">
        <v>4</v>
      </c>
      <c r="B13" s="48" t="s">
        <v>53</v>
      </c>
      <c r="C13" s="40">
        <v>1</v>
      </c>
      <c r="D13" s="5" t="s">
        <v>54</v>
      </c>
      <c r="E13" s="5" t="str">
        <f>IF(D14="NA","No",IF(F14="Yes","No","Yes"))</f>
        <v>Yes</v>
      </c>
      <c r="F13" s="62"/>
      <c r="G13" s="5" t="str">
        <f>IF(F13="Yes","On every successful Authentication event of the user or service, a fresh new session token generated and any old session associated with the same user or service invalidated.",IF(OR(F13="No",F13="NA"),"Recommend to generate a fresh new session token on every successful authetication and invalidate any old session associated with the same user or service.",""))</f>
        <v/>
      </c>
      <c r="H13" s="62"/>
      <c r="I13" s="62"/>
      <c r="J13" s="5" t="str">
        <f>IF(D14="NA","Y",IF(F13="Yes","Y","N"))</f>
        <v>N</v>
      </c>
      <c r="K13" s="5" t="str">
        <f>IF(AND(OR(F13="No",F13="NA"),ISBLANK(H13)),"Please enter your comments","")</f>
        <v/>
      </c>
    </row>
    <row r="14" spans="1:11">
      <c r="A14" s="63"/>
      <c r="B14" s="5"/>
      <c r="C14" s="40">
        <v>2</v>
      </c>
      <c r="D14" s="5" t="str">
        <f>IF(F4="Yes","NA","Others")</f>
        <v>Others</v>
      </c>
      <c r="E14" s="5" t="str">
        <f>IF(D14="NA","No",IF(F13="Yes","No","Yes"))</f>
        <v>Yes</v>
      </c>
      <c r="F14" s="62"/>
      <c r="G14" s="5"/>
      <c r="H14" s="62"/>
      <c r="I14" s="62"/>
      <c r="J14" s="5"/>
      <c r="K14" s="5" t="str">
        <f t="shared" ref="K14:K16" si="1">IF(AND(F14="Yes",ISBLANK(H14)),"Please enter your comments","")</f>
        <v/>
      </c>
    </row>
    <row r="15" spans="1:11" ht="48">
      <c r="A15" s="63">
        <v>5</v>
      </c>
      <c r="B15" s="48" t="s">
        <v>55</v>
      </c>
      <c r="C15" s="45">
        <v>1</v>
      </c>
      <c r="D15" s="43" t="s">
        <v>56</v>
      </c>
      <c r="E15" s="5" t="str">
        <f>IF(D16="NA","No",IF(F16="Yes","No","Yes"))</f>
        <v>Yes</v>
      </c>
      <c r="F15" s="62"/>
      <c r="G15" s="5" t="str">
        <f>IF(OR(F15="No","NA"),"Recommend to inform the user on logging out when logout button is clicked.","")</f>
        <v/>
      </c>
      <c r="H15" s="62"/>
      <c r="I15" s="62"/>
      <c r="J15" s="5" t="str">
        <f>IF(D16="NA","Y",IF(F15&lt;&gt;"Yes","N",J17))</f>
        <v>N</v>
      </c>
      <c r="K15" s="5" t="str">
        <f>IF(AND(OR(F15="No",F15="NA"),ISBLANK(H15)),"Please enter your comments","")</f>
        <v/>
      </c>
    </row>
    <row r="16" spans="1:11">
      <c r="A16" s="63"/>
      <c r="B16" s="5"/>
      <c r="C16" s="45">
        <v>2</v>
      </c>
      <c r="D16" s="43" t="str">
        <f>IF(F4="Yes","NA","Others")</f>
        <v>Others</v>
      </c>
      <c r="E16" s="5" t="str">
        <f>IF(D16="NA","No",IF($F15&lt;&gt;"Yes","Yes","No"))</f>
        <v>Yes</v>
      </c>
      <c r="F16" s="62"/>
      <c r="G16" s="5"/>
      <c r="H16" s="62"/>
      <c r="I16" s="62"/>
      <c r="J16" s="5"/>
      <c r="K16" s="5" t="str">
        <f t="shared" si="1"/>
        <v/>
      </c>
    </row>
    <row r="17" spans="1:11" ht="24">
      <c r="A17" s="63"/>
      <c r="B17" s="5"/>
      <c r="C17" s="45">
        <v>1.1000000000000001</v>
      </c>
      <c r="D17" s="43" t="s">
        <v>57</v>
      </c>
      <c r="E17" s="5" t="str">
        <f>IF($F15="Yes","Yes","No")</f>
        <v>No</v>
      </c>
      <c r="F17" s="62"/>
      <c r="G17" s="5" t="str">
        <f>IF(F17="Yes","Application informs the user on logging out when logout button is clicked. Session is invalidated on logout.",IF(OR(F17="No",F17="NA"),"Application informs the user on logging out when logout button is clicked.  Recommend to invalidate the session token on logout.",""))</f>
        <v/>
      </c>
      <c r="H17" s="62"/>
      <c r="I17" s="62"/>
      <c r="J17" s="5" t="str">
        <f>IF(F17="Yes","Y","N")</f>
        <v>N</v>
      </c>
      <c r="K17" s="5" t="str">
        <f>IF(AND(OR(F17="No",F17="NA"),ISBLANK(H17)),"Please enter your comments","")</f>
        <v/>
      </c>
    </row>
    <row r="18" spans="1:11" ht="60">
      <c r="A18" s="63">
        <v>6</v>
      </c>
      <c r="B18" s="48" t="s">
        <v>58</v>
      </c>
      <c r="C18" s="40">
        <v>1</v>
      </c>
      <c r="D18" s="5" t="s">
        <v>59</v>
      </c>
      <c r="E18" s="5" t="str">
        <f>IF(D19="NA","No",IF(F19="Yes","No","Yes"))</f>
        <v>Yes</v>
      </c>
      <c r="F18" s="62"/>
      <c r="G18" s="5" t="str">
        <f>IF(F18="Yes","Every Password Change/Reset event generate an audit trail which contains parameters like User's IP Address, Date &amp; Time, User ID &amp; Success or Failure status.",IF(OR(F18="No",F18="NA"),"Recommend to generate an audit trail on every password change/reset event containing parameters like User's IP Address, Date &amp; Time, User ID &amp; Success or Failure status.",""))</f>
        <v/>
      </c>
      <c r="H18" s="62"/>
      <c r="I18" s="62"/>
      <c r="J18" s="5" t="str">
        <f>IF(D19="NA","Y",IF(F18="Yes","Y","N"))</f>
        <v>N</v>
      </c>
      <c r="K18" s="5" t="str">
        <f>IF(AND(OR(F18="No",F18="NA"),ISBLANK(H18)),"Please enter your comments","")</f>
        <v/>
      </c>
    </row>
    <row r="19" spans="1:11">
      <c r="A19" s="63"/>
      <c r="B19" s="5"/>
      <c r="C19" s="40">
        <v>2</v>
      </c>
      <c r="D19" s="5" t="str">
        <f>IF(F4="Yes","NA","Others")</f>
        <v>Others</v>
      </c>
      <c r="E19" s="5" t="str">
        <f>IF(D19="NA","No",IF(F18="Yes","No","Yes"))</f>
        <v>Yes</v>
      </c>
      <c r="F19" s="62"/>
      <c r="G19" s="5"/>
      <c r="H19" s="62"/>
      <c r="I19" s="62"/>
      <c r="J19" s="5"/>
      <c r="K19" s="5" t="str">
        <f>IF(AND(F19="Yes",ISBLANK(H19)),"Please enter your comments","")</f>
        <v/>
      </c>
    </row>
    <row r="20" spans="1:11" ht="48">
      <c r="A20" s="63">
        <v>7</v>
      </c>
      <c r="B20" s="48" t="s">
        <v>60</v>
      </c>
      <c r="C20" s="40">
        <v>1</v>
      </c>
      <c r="D20" s="5" t="s">
        <v>61</v>
      </c>
      <c r="E20" s="5" t="str">
        <f>IF(D21="NA","No",IF(F21="Yes","No","Yes"))</f>
        <v>Yes</v>
      </c>
      <c r="F20" s="62"/>
      <c r="G20" s="5" t="str">
        <f>IF(F20="Yes","Authentication token or secret protected by using encryption and secure communication channels like HTTPS.",IF(OR(F20="No",F20="NA"),"Recommend to protect authentication token or secret by using encryption and secure communication channels like HTTPS.",""))</f>
        <v/>
      </c>
      <c r="H20" s="62"/>
      <c r="I20" s="62"/>
      <c r="J20" s="5" t="str">
        <f>IF(D21="NA","Y",IF(F20="Yes","Y","N"))</f>
        <v>N</v>
      </c>
      <c r="K20" s="5" t="str">
        <f>IF(AND(OR(F20="No",F20="NA"),ISBLANK(H20)),"Please enter your comments","")</f>
        <v/>
      </c>
    </row>
    <row r="21" spans="1:11">
      <c r="A21" s="63"/>
      <c r="B21" s="5"/>
      <c r="C21" s="40">
        <v>2</v>
      </c>
      <c r="D21" s="5" t="str">
        <f>IF(F4="Yes","NA","Others")</f>
        <v>Others</v>
      </c>
      <c r="E21" s="5" t="str">
        <f>IF(D21="NA","No",IF(F20="Yes","No","Yes"))</f>
        <v>Yes</v>
      </c>
      <c r="F21" s="62"/>
      <c r="G21" s="5"/>
      <c r="H21" s="62"/>
      <c r="I21" s="62"/>
      <c r="J21" s="5"/>
      <c r="K21" s="5" t="str">
        <f>IF(AND(F21="Yes",ISBLANK(H21)),"Please enter your comments","")</f>
        <v/>
      </c>
    </row>
    <row r="22" spans="1:11" ht="24">
      <c r="A22" s="63">
        <v>8</v>
      </c>
      <c r="B22" s="48" t="s">
        <v>62</v>
      </c>
      <c r="C22" s="42">
        <v>1</v>
      </c>
      <c r="D22" s="5" t="s">
        <v>63</v>
      </c>
      <c r="E22" s="5" t="str">
        <f>IF(D25="NA","No",IF(OR(F23="Yes",F25="Yes",F24="Yes"),"No","Yes"))</f>
        <v>Yes</v>
      </c>
      <c r="F22" s="62"/>
      <c r="G22" s="5"/>
      <c r="H22" s="62"/>
      <c r="I22" s="62"/>
      <c r="J22" s="5" t="str">
        <f>IF(D25="NA","Y",IF(AND('Asset Info'!B9="Intranet",F22="Yes"),"Y",J26))</f>
        <v>N</v>
      </c>
      <c r="K22" s="5"/>
    </row>
    <row r="23" spans="1:11" ht="36">
      <c r="A23" s="63"/>
      <c r="B23" s="5"/>
      <c r="C23" s="42">
        <v>2</v>
      </c>
      <c r="D23" s="5" t="s">
        <v>64</v>
      </c>
      <c r="E23" s="5" t="str">
        <f>IF(D25="NA","No",IF(OR(F25="Yes",F22="Yes",F24="Yes"),"No","Yes"))</f>
        <v>Yes</v>
      </c>
      <c r="F23" s="62"/>
      <c r="G23" s="5" t="str">
        <f>IF(F23="Yes","Forgot password option is available. An email is send to the user with a password reset link to set the password.","")</f>
        <v/>
      </c>
      <c r="H23" s="62"/>
      <c r="I23" s="62"/>
      <c r="J23" s="5" t="str">
        <f>IF(F23="Yes","Y","N")</f>
        <v>N</v>
      </c>
      <c r="K23" s="5"/>
    </row>
    <row r="24" spans="1:11">
      <c r="A24" s="63"/>
      <c r="B24" s="5"/>
      <c r="C24" s="42">
        <v>3</v>
      </c>
      <c r="D24" s="5" t="s">
        <v>65</v>
      </c>
      <c r="E24" s="5" t="str">
        <f>IF(D25="NA","No",IF(OR(F22="Yes",F23="Yes",F25="Yes"),"No","Yes"))</f>
        <v>Yes</v>
      </c>
      <c r="F24" s="62"/>
      <c r="G24" s="5"/>
      <c r="H24" s="62"/>
      <c r="I24" s="62"/>
      <c r="J24" s="5"/>
      <c r="K24" s="5"/>
    </row>
    <row r="25" spans="1:11">
      <c r="A25" s="63"/>
      <c r="B25" s="5"/>
      <c r="C25" s="42">
        <v>4</v>
      </c>
      <c r="D25" s="5" t="str">
        <f>IF(F4="Yes","NA","Others")</f>
        <v>Others</v>
      </c>
      <c r="E25" s="65" t="str">
        <f>IF(D25="NA","No",IF(COUNTIF(F22:F24,"Yes")&gt;0,"No","Yes"))</f>
        <v>Yes</v>
      </c>
      <c r="F25" s="62"/>
      <c r="G25" s="5"/>
      <c r="H25" s="62"/>
      <c r="I25" s="62"/>
      <c r="J25" s="5"/>
      <c r="K25" s="5" t="str">
        <f>IF(AND(F25="Yes",ISBLANK(H25)),"Please enter your comments","")</f>
        <v/>
      </c>
    </row>
    <row r="26" spans="1:11">
      <c r="A26" s="63"/>
      <c r="B26" s="5"/>
      <c r="C26" s="40">
        <v>1.1000000000000001</v>
      </c>
      <c r="D26" s="50" t="s">
        <v>66</v>
      </c>
      <c r="E26" s="5" t="str">
        <f>IF(AND('Asset Info'!B9="Internet",F22="Yes"),"Yes","No")</f>
        <v>No</v>
      </c>
      <c r="F26" s="62"/>
      <c r="G26" s="5" t="str">
        <f>IF(F26="Yes","Secure Password Recovery mechanism is implemented by using multi-factor authentication elements ( for example ask security question something they know, and then send a generated token to a device/email - something they own).",IF(OR(F26="No",F26="NA"),"Recommend to have second factor of authentication like OTP for securely recovering the password.",""))</f>
        <v/>
      </c>
      <c r="H26" s="62"/>
      <c r="I26" s="62"/>
      <c r="J26" s="5" t="str">
        <f>IF(F26="Yes","Y","N")</f>
        <v>N</v>
      </c>
      <c r="K26" s="5" t="str">
        <f>IF(AND(OR(F26="No",F26="NA"),ISBLANK(H26)),"Please enter your comments","")</f>
        <v/>
      </c>
    </row>
    <row r="27" spans="1:11" ht="36.75" customHeight="1">
      <c r="A27" s="63"/>
      <c r="B27" s="5"/>
      <c r="C27" s="40">
        <v>3.1</v>
      </c>
      <c r="D27" s="5" t="s">
        <v>67</v>
      </c>
      <c r="E27" s="5" t="str">
        <f>IF(F24="Yes","Yes","No")</f>
        <v>No</v>
      </c>
      <c r="F27" s="62"/>
      <c r="G27" s="5" t="str">
        <f>IF(ISBLANK(F27),"",IF(F27="Yes","Admin resets the password and it is forced to change on first login by the user","Recommended to force the users to change their password upon their next login after a password reset by admin"))</f>
        <v/>
      </c>
      <c r="H27" s="62"/>
      <c r="I27" s="62"/>
      <c r="J27" s="5" t="str">
        <f>IF(F27="Yes","Y","N")</f>
        <v>N</v>
      </c>
      <c r="K27" s="5"/>
    </row>
    <row r="28" spans="1:11" ht="24">
      <c r="A28" s="63">
        <v>9</v>
      </c>
      <c r="B28" s="48" t="s">
        <v>68</v>
      </c>
      <c r="C28" s="40">
        <v>1</v>
      </c>
      <c r="D28" s="5" t="s">
        <v>69</v>
      </c>
      <c r="E28" s="5" t="str">
        <f>IF(F29="Yes","No","Yes")</f>
        <v>Yes</v>
      </c>
      <c r="F28" s="62"/>
      <c r="G28" s="5" t="str">
        <f>IF(F28="Yes","TLSv1.2 or above is used for secure communication.",IF(OR(F28="No",F28="NA"),"TLSv1.2 or above is recommended to use for secure communication",""))</f>
        <v/>
      </c>
      <c r="H28" s="62"/>
      <c r="I28" s="62"/>
      <c r="J28" s="5" t="str">
        <f>IF(F28="Yes","Y","N")</f>
        <v>N</v>
      </c>
      <c r="K28" s="5" t="str">
        <f>IF(AND(OR(F28="No",F28="NA"),ISBLANK(H28)),"Please enter your comments","")</f>
        <v/>
      </c>
    </row>
    <row r="29" spans="1:11">
      <c r="A29" s="63"/>
      <c r="B29" s="5"/>
      <c r="C29" s="40">
        <v>2</v>
      </c>
      <c r="D29" s="5" t="s">
        <v>45</v>
      </c>
      <c r="E29" s="5" t="str">
        <f>IF(F28="Yes","No","Yes")</f>
        <v>Yes</v>
      </c>
      <c r="F29" s="62"/>
      <c r="G29" s="5"/>
      <c r="H29" s="62"/>
      <c r="I29" s="62"/>
      <c r="J29" s="5"/>
      <c r="K29" s="5" t="str">
        <f>IF(AND(F29="Yes",ISBLANK(H29)),"Please enter your comments","")</f>
        <v/>
      </c>
    </row>
    <row r="30" spans="1:11" ht="36">
      <c r="A30" s="63">
        <v>10</v>
      </c>
      <c r="B30" s="48" t="s">
        <v>70</v>
      </c>
      <c r="C30" s="40">
        <v>1</v>
      </c>
      <c r="D30" s="5" t="str">
        <f>IF(F4="Yes","NA",IF('Asset Info'!B9="Internet","Is CAPTCHA enforced on publicly available pages like Login page or any page that does not require authentication?","As it is a Intranet application anti-automation controls like CAPTCHA is not mandatory."))</f>
        <v>As it is a Intranet application anti-automation controls like CAPTCHA is not mandatory.</v>
      </c>
      <c r="E30" s="5" t="str">
        <f>IF('Asset Info'!B9="Internet","Yes","No")</f>
        <v>No</v>
      </c>
      <c r="F30" s="62"/>
      <c r="G30" s="5" t="str">
        <f>IF(F30="No","Recommend to enforce CAPTCHA on publicly available pages like Login page or any page that does not require authentication","")</f>
        <v/>
      </c>
      <c r="H30" s="62"/>
      <c r="I30" s="62"/>
      <c r="J30" s="5" t="str">
        <f>IF(OR(D30="NA",'Asset Info'!B9="Intranet"),"Y",IF(F30&lt;&gt;"Yes","N",IF(COUNTIF(J31:J32,"Y")&gt;0,"Y","N")))</f>
        <v>N</v>
      </c>
      <c r="K30" s="5"/>
    </row>
    <row r="31" spans="1:11" ht="24">
      <c r="A31" s="63"/>
      <c r="B31" s="5"/>
      <c r="C31" s="40">
        <v>1.1000000000000001</v>
      </c>
      <c r="D31" s="5" t="s">
        <v>71</v>
      </c>
      <c r="E31" s="5" t="str">
        <f>IF(AND(F30="Yes",F32&lt;&gt;"Yes"),"Yes","No")</f>
        <v>No</v>
      </c>
      <c r="F31" s="62"/>
      <c r="G31" s="5" t="str">
        <f>IF(F31="Yes","Application uses CAPTCHA as anti-automation control. Standard CAPTCHA libraries used for generation.","")</f>
        <v/>
      </c>
      <c r="H31" s="62"/>
      <c r="I31" s="62"/>
      <c r="J31" s="5" t="str">
        <f>IF(F31="Yes","Y","N")</f>
        <v>N</v>
      </c>
      <c r="K31" s="5"/>
    </row>
    <row r="32" spans="1:11">
      <c r="A32" s="63"/>
      <c r="B32" s="5"/>
      <c r="C32" s="40">
        <v>1.2</v>
      </c>
      <c r="D32" s="5" t="s">
        <v>72</v>
      </c>
      <c r="E32" s="5" t="str">
        <f>IF(AND(F30="Yes",F31&lt;&gt;"Yes"),"Yes","No")</f>
        <v>No</v>
      </c>
      <c r="F32" s="62"/>
      <c r="G32" s="5"/>
      <c r="H32" s="62"/>
      <c r="I32" s="62"/>
      <c r="J32" s="5" t="str">
        <f>J33</f>
        <v>N</v>
      </c>
      <c r="K32" s="5"/>
    </row>
    <row r="33" spans="1:11" ht="24">
      <c r="A33" s="63"/>
      <c r="B33" s="5"/>
      <c r="C33" s="40" t="s">
        <v>73</v>
      </c>
      <c r="D33" s="5" t="s">
        <v>74</v>
      </c>
      <c r="E33" s="5" t="str">
        <f>IF(F32="Yes","Yes","No")</f>
        <v>No</v>
      </c>
      <c r="F33" s="62"/>
      <c r="G33" s="5" t="str">
        <f>IF(F33="Yes","Application uses CAPTCHA as anti-automation control. Custom CAPTCHA generation done on the server side.",IF(OR(F33="No",F33="NA"),"Application uses CAPTCHA as anti-automation control. Custom CAPTCHA generation used. Recommended to generate and validate CAPTCHA on the server side.",""))</f>
        <v/>
      </c>
      <c r="H33" s="62"/>
      <c r="I33" s="62"/>
      <c r="J33" s="5" t="str">
        <f>IF(F33="Yes","Y","N")</f>
        <v>N</v>
      </c>
      <c r="K33" s="5"/>
    </row>
    <row r="34" spans="1:11" ht="48">
      <c r="A34" s="63">
        <v>11</v>
      </c>
      <c r="B34" s="48" t="s">
        <v>75</v>
      </c>
      <c r="C34" s="45">
        <v>1</v>
      </c>
      <c r="D34" s="43" t="s">
        <v>76</v>
      </c>
      <c r="E34" s="5" t="str">
        <f>IF(D35="NA","No",IF(F35="Yes","No","Yes"))</f>
        <v>Yes</v>
      </c>
      <c r="F34" s="62"/>
      <c r="G34" s="5" t="str">
        <f>IF(OR(F34="No",F34="NA"),"Application does not have any sensitive transaction","")</f>
        <v/>
      </c>
      <c r="H34" s="62"/>
      <c r="I34" s="62"/>
      <c r="J34" s="5" t="str">
        <f>IF(D35="NA","Y",IF(F34="Yes",J36,IF(NOT(ISBLANK(F34)),"Y","N")))</f>
        <v>N</v>
      </c>
      <c r="K34" s="5"/>
    </row>
    <row r="35" spans="1:11">
      <c r="A35" s="63"/>
      <c r="B35" s="5"/>
      <c r="C35" s="45">
        <v>2</v>
      </c>
      <c r="D35" s="43" t="str">
        <f>IF(F4="Yes","NA","Others")</f>
        <v>Others</v>
      </c>
      <c r="E35" s="5" t="str">
        <f>IF(D35="NA","No",IF(ISBLANK($F34),"Yes","No"))</f>
        <v>Yes</v>
      </c>
      <c r="F35" s="62"/>
      <c r="G35" s="5"/>
      <c r="H35" s="62"/>
      <c r="I35" s="62"/>
      <c r="J35" s="5"/>
      <c r="K35" s="5" t="str">
        <f>IF(AND(F35="Yes",ISBLANK(H35)),"Please enter your comments","")</f>
        <v/>
      </c>
    </row>
    <row r="36" spans="1:11" ht="36">
      <c r="A36" s="63"/>
      <c r="B36" s="5"/>
      <c r="C36" s="45">
        <v>1.1000000000000001</v>
      </c>
      <c r="D36" s="43" t="s">
        <v>77</v>
      </c>
      <c r="E36" s="5" t="str">
        <f>IF($F34="Yes","Yes","No")</f>
        <v>No</v>
      </c>
      <c r="F36" s="62"/>
      <c r="G36" s="5" t="str">
        <f>IF(F36="Yes","For sensitive transactions, application re-authenticates the user or verify through Profile Passwords or OTP mechanism.",IF(OR(F36="No",F36="NA"),"For sensitive transactions, recommend to re-authenticates the user or verify through Profile Passwords or OTP mechanism.",""))</f>
        <v/>
      </c>
      <c r="H36" s="62"/>
      <c r="I36" s="62"/>
      <c r="J36" s="5" t="str">
        <f>IF(F36="Yes","Y","N")</f>
        <v>N</v>
      </c>
      <c r="K36" s="5" t="str">
        <f>IF(AND(OR(F36="No",F36="NA"),ISBLANK(H36)),"Please enter your comments","")</f>
        <v/>
      </c>
    </row>
    <row r="37" spans="1:11" ht="48">
      <c r="A37" s="63">
        <v>12</v>
      </c>
      <c r="B37" s="48" t="s">
        <v>78</v>
      </c>
      <c r="C37" s="40">
        <v>1</v>
      </c>
      <c r="D37" s="5" t="s">
        <v>79</v>
      </c>
      <c r="E37" s="5" t="str">
        <f>IF('Asset Info'!B10="No","No",IF(F4="Yes","No",IF(D37&lt;&gt;"NA","Yes","No")))</f>
        <v>Yes</v>
      </c>
      <c r="F37" s="62"/>
      <c r="G37" s="5" t="str">
        <f>IF(OR(F37="No",F37="NA"),"Application do not have any critical functionality","")</f>
        <v/>
      </c>
      <c r="H37" s="62"/>
      <c r="I37" s="62"/>
      <c r="J37" s="5" t="str">
        <f>IF(E37="No","Y",IF(F4="Yes","Y",IF(F37="Yes",J38,IF(NOT(ISBLANK(F37)),"Y","N"))))</f>
        <v>N</v>
      </c>
      <c r="K37" s="5"/>
    </row>
    <row r="38" spans="1:11" ht="24">
      <c r="A38" s="63"/>
      <c r="B38" s="5"/>
      <c r="C38" s="40">
        <v>1.1000000000000001</v>
      </c>
      <c r="D38" s="5" t="s">
        <v>80</v>
      </c>
      <c r="E38" s="5" t="str">
        <f>IF(F37="Yes","Yes","No")</f>
        <v>No</v>
      </c>
      <c r="F38" s="62"/>
      <c r="G38" s="5" t="str">
        <f>IF(F38="Yes","Application has critical functionality and Ipbased restrcition enabled for accessing such pages/functionality.",IF(OR(F38="No",F38="NA"),"Application has critical functionality. Recommend to have IP based access to those pages or functionality.",""))</f>
        <v/>
      </c>
      <c r="H38" s="62"/>
      <c r="I38" s="62"/>
      <c r="J38" s="5" t="str">
        <f>IF(F38="Yes","Y","N")</f>
        <v>N</v>
      </c>
      <c r="K38" s="5" t="str">
        <f>IF(AND(OR(F38="No",F38="NA"),ISBLANK(H38)),"Please enter your comments","")</f>
        <v/>
      </c>
    </row>
    <row r="39" spans="1:11" ht="14.45">
      <c r="A39" s="84" t="s">
        <v>81</v>
      </c>
      <c r="B39" s="85"/>
      <c r="C39" s="85"/>
      <c r="D39" s="85"/>
      <c r="E39" s="85"/>
      <c r="F39" s="85"/>
      <c r="G39" s="85"/>
      <c r="H39" s="85"/>
      <c r="I39" s="85"/>
      <c r="J39" s="85"/>
      <c r="K39" s="86"/>
    </row>
    <row r="40" spans="1:11" ht="36">
      <c r="A40" s="42">
        <v>1</v>
      </c>
      <c r="B40" s="41" t="s">
        <v>82</v>
      </c>
      <c r="C40" s="42">
        <v>1</v>
      </c>
      <c r="D40" s="5" t="s">
        <v>83</v>
      </c>
      <c r="E40" s="5" t="s">
        <v>84</v>
      </c>
      <c r="F40" s="62"/>
      <c r="G40" s="5" t="str">
        <f>IF(F40="Yes","The application has the time synchronised with NTP, other applications and systems.",IF(OR(F40="No",F40="NA"),"Recommended to have the time synchronised with NTP, other applications and systems.",""))</f>
        <v/>
      </c>
      <c r="H40" s="62"/>
      <c r="I40" s="62"/>
      <c r="J40" s="5" t="str">
        <f>IF(F40="Yes","Y","N")</f>
        <v>N</v>
      </c>
      <c r="K40" s="5" t="str">
        <f>IF(AND(OR(F40="No",F40="NA"),ISBLANK(H40)),"Please enter your comments","")</f>
        <v/>
      </c>
    </row>
    <row r="41" spans="1:11" ht="48">
      <c r="A41" s="42">
        <v>2</v>
      </c>
      <c r="B41" s="41" t="s">
        <v>85</v>
      </c>
      <c r="C41" s="42">
        <v>1</v>
      </c>
      <c r="D41" s="5" t="s">
        <v>86</v>
      </c>
      <c r="E41" s="5" t="s">
        <v>84</v>
      </c>
      <c r="F41" s="62"/>
      <c r="G41" s="5" t="str">
        <f>IF(F41="Yes","Source IP address, timestamp, action owner Id, event Id and resource Id are captured in the logs.",IF(OR(F41="No",F41="NA"),"Recommended to capture  source IP address, timestamp, action owner Id, event Id and resource Id.",""))</f>
        <v/>
      </c>
      <c r="H41" s="62"/>
      <c r="I41" s="62"/>
      <c r="J41" s="5" t="str">
        <f t="shared" ref="J41:J43" si="2">IF(F41="Yes","Y","N")</f>
        <v>N</v>
      </c>
      <c r="K41" s="5" t="str">
        <f t="shared" ref="K41:K43" si="3">IF(AND(OR(F41="No",F41="NA"),ISBLANK(H41)),"Please enter your comments","")</f>
        <v/>
      </c>
    </row>
    <row r="42" spans="1:11" ht="24">
      <c r="A42" s="42">
        <v>3</v>
      </c>
      <c r="B42" s="41" t="s">
        <v>87</v>
      </c>
      <c r="C42" s="42">
        <v>1</v>
      </c>
      <c r="D42" s="5" t="s">
        <v>88</v>
      </c>
      <c r="E42" s="5" t="s">
        <v>84</v>
      </c>
      <c r="F42" s="62"/>
      <c r="G42" s="5" t="str">
        <f>IF(F42="Yes","Events and errors are differentiated.",IF(OR(F42="No",F42="NA"),"Recommended to differentiate events from errors.",""))</f>
        <v/>
      </c>
      <c r="H42" s="62"/>
      <c r="I42" s="62"/>
      <c r="J42" s="5" t="str">
        <f t="shared" si="2"/>
        <v>N</v>
      </c>
      <c r="K42" s="5" t="str">
        <f t="shared" si="3"/>
        <v/>
      </c>
    </row>
    <row r="43" spans="1:11" ht="24">
      <c r="A43" s="42">
        <v>4</v>
      </c>
      <c r="B43" s="41" t="s">
        <v>89</v>
      </c>
      <c r="C43" s="42">
        <v>1</v>
      </c>
      <c r="D43" s="5" t="s">
        <v>90</v>
      </c>
      <c r="E43" s="5" t="s">
        <v>84</v>
      </c>
      <c r="F43" s="62"/>
      <c r="G43" s="5" t="str">
        <f>IF(F43="Yes","Audit trails and logs are configured with append only mode.",IF(OR(F43="No",F43="NA"),"Recommended to have audit trails and logs as Write Once, Read Only format.",""))</f>
        <v/>
      </c>
      <c r="H43" s="62"/>
      <c r="I43" s="62"/>
      <c r="J43" s="5" t="str">
        <f t="shared" si="2"/>
        <v>N</v>
      </c>
      <c r="K43" s="5" t="str">
        <f t="shared" si="3"/>
        <v/>
      </c>
    </row>
    <row r="44" spans="1:11" ht="49.5" customHeight="1">
      <c r="A44" s="42">
        <v>6</v>
      </c>
      <c r="B44" s="41" t="s">
        <v>91</v>
      </c>
      <c r="C44" s="40">
        <v>1</v>
      </c>
      <c r="D44" s="5" t="str">
        <f>IF('Asset Info'!B8="Java","Does the application use the standard APIs or libraries for logging such as Log4j, Log4Net ?",IF('Asset Info'!B8="Python","Does the application use standard APIs or libraries for logging such as 'Logging', 'Loguru', 'Pytholog' etc?","Does the application use any standard libraries for logging? If yes, please mention in the asset team comments column."))</f>
        <v>Does the application use any standard libraries for logging? If yes, please mention in the asset team comments column.</v>
      </c>
      <c r="E44" s="5" t="s">
        <v>84</v>
      </c>
      <c r="F44" s="62"/>
      <c r="G44" s="5" t="str">
        <f>IF(AND('Asset Info'!B8="Java",F44="Yes"),"Standard logging frameworks or APIs are used for logging like Log4j, Log4Net.",IF(AND('Asset Info'!B8="Python",F44="Yes"),"Standard logging frameworks or APIs are used for logging like 'Logging', 'Loguru', 'Pytholog'.",""))</f>
        <v/>
      </c>
      <c r="H44" s="62"/>
      <c r="I44" s="62"/>
      <c r="J44" s="5" t="str">
        <f>IF(AND(NOT(ISBLANK(G44)),F44="Yes"),"Y","N")</f>
        <v>N</v>
      </c>
      <c r="K44" s="39" t="str">
        <f>IF(AND($F44="Yes",AND(ISBLANK('Asset Info'!B8),ISBLANK($H44))),"Please enter your comments","")</f>
        <v/>
      </c>
    </row>
    <row r="45" spans="1:11">
      <c r="A45" s="40"/>
      <c r="B45" s="5"/>
      <c r="C45" s="40">
        <v>2</v>
      </c>
      <c r="D45" s="5" t="s">
        <v>45</v>
      </c>
      <c r="E45" s="5"/>
      <c r="F45" s="62"/>
      <c r="G45" s="5"/>
      <c r="H45" s="62"/>
      <c r="I45" s="62"/>
      <c r="J45" s="5"/>
      <c r="K45" s="5" t="str">
        <f>IF(AND(F45="Yes",ISBLANK(H45)),"Please enter your comments","")</f>
        <v/>
      </c>
    </row>
    <row r="46" spans="1:11" ht="36">
      <c r="A46" s="42">
        <v>7</v>
      </c>
      <c r="B46" s="41" t="s">
        <v>92</v>
      </c>
      <c r="C46" s="42">
        <v>1</v>
      </c>
      <c r="D46" s="5" t="s">
        <v>93</v>
      </c>
      <c r="E46" s="5" t="str">
        <f>IF('Asset Info'!B10="No","No","Yes")</f>
        <v>Yes</v>
      </c>
      <c r="F46" s="62"/>
      <c r="G46" s="5" t="str">
        <f>IF(F46="Yes","Seperate audit trail is maintained for administrative actions.",IF(OR(F46="No",F46="NA"),"Recomended to Maintain audit-trail for administrative actions separately.",""))</f>
        <v/>
      </c>
      <c r="H46" s="62"/>
      <c r="I46" s="62"/>
      <c r="J46" s="5" t="str">
        <f>IF('Asset Info'!B10="No","Y",IF(F46="Yes","Y","N"))</f>
        <v>N</v>
      </c>
      <c r="K46" s="5" t="str">
        <f t="shared" ref="K46:K68" si="4">IF(AND(OR(F46="No",F46="NA"),ISBLANK(H46)),"Please enter your comments","")</f>
        <v/>
      </c>
    </row>
    <row r="47" spans="1:11" ht="24">
      <c r="A47" s="42">
        <v>8</v>
      </c>
      <c r="B47" s="41" t="s">
        <v>94</v>
      </c>
      <c r="C47" s="40">
        <v>1</v>
      </c>
      <c r="D47" s="5" t="s">
        <v>95</v>
      </c>
      <c r="E47" s="5" t="str">
        <f>IF(D47&lt;&gt;"NA","Yes","No")</f>
        <v>Yes</v>
      </c>
      <c r="F47" s="62"/>
      <c r="G47" s="5" t="str">
        <f>IF(OR(F47="No",F47="NA"),"No sensitive information is logged.","")</f>
        <v/>
      </c>
      <c r="H47" s="62"/>
      <c r="I47" s="62"/>
      <c r="J47" s="5" t="str">
        <f>IF(F47="Yes",J48,IF(NOT(ISBLANK(F47)),"Y","N"))</f>
        <v>N</v>
      </c>
      <c r="K47" s="5"/>
    </row>
    <row r="48" spans="1:11" ht="24">
      <c r="A48" s="40"/>
      <c r="B48" s="5"/>
      <c r="C48" s="40">
        <v>1.1000000000000001</v>
      </c>
      <c r="D48" s="5" t="s">
        <v>96</v>
      </c>
      <c r="E48" s="5" t="str">
        <f>IF(F47="Yes","Yes","No")</f>
        <v>No</v>
      </c>
      <c r="F48" s="62"/>
      <c r="G48" s="5" t="str">
        <f>IF(F48="Yes","Sensitive information is logged in encrypted format.",IF(OR(F48="No",F48="NA"),"Recommended to encrypt and log the sensitive information.",""))</f>
        <v/>
      </c>
      <c r="H48" s="62"/>
      <c r="I48" s="62"/>
      <c r="J48" s="5" t="str">
        <f>IF(F48="Yes","Y","N")</f>
        <v>N</v>
      </c>
      <c r="K48" s="5" t="str">
        <f t="shared" si="4"/>
        <v/>
      </c>
    </row>
    <row r="49" spans="1:11" ht="36">
      <c r="A49" s="42">
        <v>9</v>
      </c>
      <c r="B49" s="41" t="s">
        <v>97</v>
      </c>
      <c r="C49" s="42">
        <v>1</v>
      </c>
      <c r="D49" s="5" t="s">
        <v>98</v>
      </c>
      <c r="E49" s="5" t="s">
        <v>84</v>
      </c>
      <c r="F49" s="62"/>
      <c r="G49" s="5" t="str">
        <f>IF(F49="Yes","Sufficient disk space for logs is planned by having periodic backups.",IF(OR(F49="No",F49="NA"),"Recommended to ensure that log files are stored in a safe location of the file system and that adequate disk space is available for logging.",""))</f>
        <v/>
      </c>
      <c r="H49" s="62"/>
      <c r="I49" s="62"/>
      <c r="J49" s="5" t="str">
        <f t="shared" ref="J49" si="5">IF(F49="Yes","Y","N")</f>
        <v>N</v>
      </c>
      <c r="K49" s="5" t="str">
        <f t="shared" si="4"/>
        <v/>
      </c>
    </row>
    <row r="50" spans="1:11" ht="36">
      <c r="A50" s="42">
        <v>10</v>
      </c>
      <c r="B50" s="41" t="s">
        <v>99</v>
      </c>
      <c r="C50" s="42">
        <v>1</v>
      </c>
      <c r="D50" s="44" t="s">
        <v>100</v>
      </c>
      <c r="E50" s="65" t="str">
        <f>IF(COUNTIF(F51:F53,"Yes")&gt;0,"No","Yes")</f>
        <v>Yes</v>
      </c>
      <c r="F50" s="62"/>
      <c r="G50" s="5" t="str">
        <f>IF(F50="Yes","Appropriate logging strategy is selected i.e., date-wise logging followed.","")</f>
        <v/>
      </c>
      <c r="H50" s="62"/>
      <c r="I50" s="62"/>
      <c r="J50" s="5" t="str">
        <f>IF(F50="Yes", "Y","N")</f>
        <v>N</v>
      </c>
      <c r="K50" s="5" t="str">
        <f t="shared" si="4"/>
        <v/>
      </c>
    </row>
    <row r="51" spans="1:11">
      <c r="A51" s="40"/>
      <c r="B51" s="5"/>
      <c r="C51" s="42">
        <v>2</v>
      </c>
      <c r="D51" s="44" t="s">
        <v>101</v>
      </c>
      <c r="E51" s="65" t="str">
        <f>IF(OR(F50="Yes",COUNTIF(F52:F53,"Yes")&gt;0),"No","Yes")</f>
        <v>Yes</v>
      </c>
      <c r="F51" s="62"/>
      <c r="G51" s="5" t="str">
        <f>IF(F51="Yes","Appropriate logging strategy is selected i.e., user-wise logging followed.","")</f>
        <v/>
      </c>
      <c r="H51" s="62"/>
      <c r="I51" s="62"/>
      <c r="J51" s="5" t="str">
        <f>IF(F51="Yes", "Y","N")</f>
        <v>N</v>
      </c>
      <c r="K51" s="5" t="str">
        <f t="shared" si="4"/>
        <v/>
      </c>
    </row>
    <row r="52" spans="1:11" ht="24">
      <c r="A52" s="40"/>
      <c r="B52" s="5"/>
      <c r="C52" s="42">
        <v>3</v>
      </c>
      <c r="D52" s="44" t="s">
        <v>102</v>
      </c>
      <c r="E52" s="65" t="str">
        <f>IF(OR(COUNTIF(F50:F51,"Yes")&gt;0,F53="Yes"),"No","Yes")</f>
        <v>Yes</v>
      </c>
      <c r="F52" s="62"/>
      <c r="G52" s="5" t="str">
        <f>IF(F52="Yes","Appropriate logging strategy is selected i.e., event-wise logging followed.","")</f>
        <v/>
      </c>
      <c r="H52" s="62"/>
      <c r="I52" s="62"/>
      <c r="J52" s="5" t="str">
        <f>IF(F52="Yes", "Y","N")</f>
        <v>N</v>
      </c>
      <c r="K52" s="5" t="str">
        <f t="shared" si="4"/>
        <v/>
      </c>
    </row>
    <row r="53" spans="1:11">
      <c r="A53" s="40"/>
      <c r="B53" s="5"/>
      <c r="C53" s="40">
        <v>4</v>
      </c>
      <c r="D53" s="5" t="s">
        <v>45</v>
      </c>
      <c r="E53" s="65" t="str">
        <f>IF(COUNTIF(F50:F52,"Yes")&gt;0,"No","Yes")</f>
        <v>Yes</v>
      </c>
      <c r="F53" s="62"/>
      <c r="G53" s="5"/>
      <c r="H53" s="62"/>
      <c r="I53" s="62"/>
      <c r="J53" s="5"/>
      <c r="K53" s="5" t="str">
        <f>IF(AND(F53="Yes",ISBLANK(H53)),"Please enter your comments","")</f>
        <v/>
      </c>
    </row>
    <row r="54" spans="1:11" ht="36">
      <c r="A54" s="42">
        <v>11</v>
      </c>
      <c r="B54" s="41" t="s">
        <v>103</v>
      </c>
      <c r="C54" s="40">
        <v>1</v>
      </c>
      <c r="D54" s="5" t="s">
        <v>104</v>
      </c>
      <c r="E54" s="5" t="str">
        <f>IF(D54&lt;&gt;"NA","Yes","No")</f>
        <v>Yes</v>
      </c>
      <c r="F54" s="62"/>
      <c r="G54" s="5" t="str">
        <f>IF(OR(F54="No",F54="NA"),"Recommended to analyze logs periodically for anomalies or misbehaviours.","")</f>
        <v/>
      </c>
      <c r="H54" s="62"/>
      <c r="I54" s="62"/>
      <c r="J54" s="5" t="str">
        <f>IF(F54="Yes",J55,IF(NOT(ISBLANK(F54)),"Y","N"))</f>
        <v>N</v>
      </c>
      <c r="K54" s="5" t="str">
        <f t="shared" si="4"/>
        <v/>
      </c>
    </row>
    <row r="55" spans="1:11" ht="49.5" customHeight="1">
      <c r="A55" s="40"/>
      <c r="B55" s="5"/>
      <c r="C55" s="40">
        <v>1.1000000000000001</v>
      </c>
      <c r="D55" s="5" t="s">
        <v>105</v>
      </c>
      <c r="E55" s="5" t="str">
        <f>IF(F54="Yes","Yes","No")</f>
        <v>No</v>
      </c>
      <c r="F55" s="62"/>
      <c r="G55" s="5" t="str">
        <f>IF(F55="Yes","Logs are analyzed periodically for anomalies or misbehaviours automatically.",IF(OR(F55="No",F55="NA"),"Logs are analyzed periodically for anomalies or misbehaviours. However recommended to use an automated program to achieve it.",""))</f>
        <v/>
      </c>
      <c r="H55" s="62"/>
      <c r="I55" s="62"/>
      <c r="J55" s="5" t="str">
        <f>IF(F55="Yes","Y","N")</f>
        <v>N</v>
      </c>
      <c r="K55" s="5" t="str">
        <f t="shared" si="4"/>
        <v/>
      </c>
    </row>
    <row r="56" spans="1:11" ht="24">
      <c r="A56" s="42">
        <v>12</v>
      </c>
      <c r="B56" s="41" t="s">
        <v>106</v>
      </c>
      <c r="C56" s="42">
        <v>1</v>
      </c>
      <c r="D56" s="5" t="s">
        <v>107</v>
      </c>
      <c r="E56" s="5" t="s">
        <v>84</v>
      </c>
      <c r="F56" s="62"/>
      <c r="G56" s="5" t="str">
        <f>IF(F56="Yes","Access is restricted to logs, support or admin team has the access.",IF(OR(F56="No",F56="NA"),"Recommended to restrict  access to logs. Enable access to only support or admin team.",""))</f>
        <v/>
      </c>
      <c r="H56" s="62"/>
      <c r="I56" s="62"/>
      <c r="J56" s="5" t="str">
        <f t="shared" ref="J56" si="6">IF(F56="Yes","Y","N")</f>
        <v>N</v>
      </c>
      <c r="K56" s="5" t="str">
        <f t="shared" si="4"/>
        <v/>
      </c>
    </row>
    <row r="57" spans="1:11" ht="36">
      <c r="A57" s="42">
        <v>13</v>
      </c>
      <c r="B57" s="41" t="s">
        <v>108</v>
      </c>
      <c r="C57" s="40">
        <v>1</v>
      </c>
      <c r="D57" s="5" t="s">
        <v>109</v>
      </c>
      <c r="E57" s="5" t="str">
        <f>IF('Asset Info'!B10="No","No","Yes")</f>
        <v>Yes</v>
      </c>
      <c r="F57" s="62"/>
      <c r="G57" s="5" t="str">
        <f>IF(F57="Yes","Admin audit-trail is encrypted and protect it from admin.",IF(OR(F57="No",F57="NA"),"Recommended to encrypt admin audit-trail and protect it from admin.",""))</f>
        <v/>
      </c>
      <c r="H57" s="62"/>
      <c r="I57" s="62"/>
      <c r="J57" s="5" t="str">
        <f>IF('Asset Info'!B10="No","Y",IF(F57="Yes","Y","N"))</f>
        <v>N</v>
      </c>
      <c r="K57" s="5" t="str">
        <f t="shared" si="4"/>
        <v/>
      </c>
    </row>
    <row r="58" spans="1:11" ht="14.45">
      <c r="A58" s="84" t="s">
        <v>110</v>
      </c>
      <c r="B58" s="85"/>
      <c r="C58" s="85"/>
      <c r="D58" s="85"/>
      <c r="E58" s="85"/>
      <c r="F58" s="85"/>
      <c r="G58" s="85"/>
      <c r="H58" s="85"/>
      <c r="I58" s="85"/>
      <c r="J58" s="85"/>
      <c r="K58" s="86"/>
    </row>
    <row r="59" spans="1:11" ht="24">
      <c r="A59" s="40">
        <v>1</v>
      </c>
      <c r="B59" s="41" t="s">
        <v>111</v>
      </c>
      <c r="C59" s="40">
        <v>1</v>
      </c>
      <c r="D59" s="5" t="s">
        <v>112</v>
      </c>
      <c r="E59" s="5" t="str">
        <f>IF(F4="Yes","No","Yes")</f>
        <v>Yes</v>
      </c>
      <c r="F59" s="62"/>
      <c r="G59" s="5" t="str">
        <f>IF(F59="Yes","Each request is validated for authorization before accesing a page.",IF(OR(F59="No",F59="NA"),"Recommended to validate each request for authorization.",""))</f>
        <v/>
      </c>
      <c r="H59" s="62"/>
      <c r="I59" s="62"/>
      <c r="J59" s="5" t="str">
        <f>IF(F4="Yes","Y",IF(F59="Yes","Y","N"))</f>
        <v>N</v>
      </c>
      <c r="K59" s="5" t="str">
        <f t="shared" si="4"/>
        <v/>
      </c>
    </row>
    <row r="60" spans="1:11" ht="36">
      <c r="A60" s="40">
        <v>2</v>
      </c>
      <c r="B60" s="41" t="s">
        <v>113</v>
      </c>
      <c r="C60" s="40">
        <v>1</v>
      </c>
      <c r="D60" s="5" t="s">
        <v>114</v>
      </c>
      <c r="E60" s="5" t="str">
        <f>IF(F4="Yes","No","Yes")</f>
        <v>Yes</v>
      </c>
      <c r="F60" s="62"/>
      <c r="G60" s="5" t="str">
        <f>IF(F60="Yes","The access control decisions are always based on server side data.",IF(OR(F60="No",F60="NA"),"Recommended that decisions for access controls are always taken based on the server side data.",""))</f>
        <v/>
      </c>
      <c r="H60" s="62"/>
      <c r="I60" s="62"/>
      <c r="J60" s="5" t="str">
        <f>IF(F4="Yes","Y",IF(F60="Yes","Y","N"))</f>
        <v>N</v>
      </c>
      <c r="K60" s="5" t="str">
        <f t="shared" si="4"/>
        <v/>
      </c>
    </row>
    <row r="61" spans="1:11" ht="36">
      <c r="A61" s="40">
        <v>3</v>
      </c>
      <c r="B61" s="41" t="s">
        <v>115</v>
      </c>
      <c r="C61" s="40">
        <v>1</v>
      </c>
      <c r="D61" s="5" t="s">
        <v>116</v>
      </c>
      <c r="E61" s="5" t="str">
        <f>IF(F4="Yes","No",IF(D61&lt;&gt;"NA","Yes","No"))</f>
        <v>Yes</v>
      </c>
      <c r="F61" s="62"/>
      <c r="G61" s="5" t="str">
        <f>IF(OR(F61="No",F61="NA"),"There are no anonymous users.","")</f>
        <v/>
      </c>
      <c r="H61" s="62"/>
      <c r="I61" s="62"/>
      <c r="J61" s="5" t="str">
        <f>IF(F4="Yes","Y",IF(F61="Yes",J62,IF(NOT(ISBLANK(F61)),"Y","N")))</f>
        <v>N</v>
      </c>
      <c r="K61" s="5" t="str">
        <f>IF(AND(F61="Yes",ISBLANK(H61)),"Please enter your comments","")</f>
        <v/>
      </c>
    </row>
    <row r="62" spans="1:11" ht="24">
      <c r="A62" s="40"/>
      <c r="B62" s="5"/>
      <c r="C62" s="40">
        <v>1.1000000000000001</v>
      </c>
      <c r="D62" s="5" t="s">
        <v>117</v>
      </c>
      <c r="E62" s="5" t="str">
        <f>IF(F61="Yes","Yes","No")</f>
        <v>No</v>
      </c>
      <c r="F62" s="62"/>
      <c r="G62" s="5" t="str">
        <f>IF(F62="Yes","The application offers minimal functionality to the anonymus users.",IF(OR(F62="No",F62="NA"),"Recommended to offer minimal functionality to the anonymus users.",""))</f>
        <v/>
      </c>
      <c r="H62" s="62"/>
      <c r="I62" s="62"/>
      <c r="J62" s="5" t="str">
        <f>IF(F62="Yes","Y","N")</f>
        <v>N</v>
      </c>
      <c r="K62" s="5" t="str">
        <f t="shared" si="4"/>
        <v/>
      </c>
    </row>
    <row r="63" spans="1:11" ht="36">
      <c r="A63" s="40">
        <v>4</v>
      </c>
      <c r="B63" s="41" t="s">
        <v>118</v>
      </c>
      <c r="C63" s="40">
        <v>1</v>
      </c>
      <c r="D63" s="5" t="s">
        <v>119</v>
      </c>
      <c r="E63" s="5" t="str">
        <f>IF(D64="NA","No",IF(F64="Yes","No","Yes"))</f>
        <v>Yes</v>
      </c>
      <c r="F63" s="62"/>
      <c r="G63" s="5" t="str">
        <f>IF(F63="Yes","Centralized access control system is created through ACL.",IF(OR(F63="No",F63="NA"),"Recommended to create  centralized access control system through ACL.",""))</f>
        <v/>
      </c>
      <c r="H63" s="62"/>
      <c r="I63" s="62"/>
      <c r="J63" s="5" t="str">
        <f>IF(D64="NA","Y",IF(F63="Yes","Y","N"))</f>
        <v>N</v>
      </c>
      <c r="K63" s="5" t="str">
        <f t="shared" si="4"/>
        <v/>
      </c>
    </row>
    <row r="64" spans="1:11">
      <c r="A64" s="40"/>
      <c r="B64" s="5"/>
      <c r="C64" s="45">
        <v>2</v>
      </c>
      <c r="D64" s="43" t="str">
        <f>IF(F4="Yes","NA","Others")</f>
        <v>Others</v>
      </c>
      <c r="E64" s="5" t="str">
        <f>IF(D64="NA","No",IF(F63="Yes","No","Yes"))</f>
        <v>Yes</v>
      </c>
      <c r="F64" s="62"/>
      <c r="G64" s="5"/>
      <c r="H64" s="62"/>
      <c r="I64" s="62"/>
      <c r="J64" s="5"/>
      <c r="K64" s="5" t="str">
        <f>IF(AND(F64="Yes",ISBLANK(H64)),"Please enter your comments","")</f>
        <v/>
      </c>
    </row>
    <row r="65" spans="1:11" ht="36">
      <c r="A65" s="40">
        <v>5</v>
      </c>
      <c r="B65" s="41" t="s">
        <v>120</v>
      </c>
      <c r="C65" s="42">
        <v>1</v>
      </c>
      <c r="D65" s="5" t="s">
        <v>121</v>
      </c>
      <c r="E65" s="5" t="str">
        <f>IF(F4="Yes","No","Yes")</f>
        <v>Yes</v>
      </c>
      <c r="F65" s="62"/>
      <c r="G65" s="5" t="str">
        <f>IF(F65="Yes","Privileges are provided incrimentally after creating the user intitially with zero privileges.",IF(OR(F65="No",F65="NA"),"Recommended to provide privileges incrimentally after creating the user intitially with zero privileges.",""))</f>
        <v/>
      </c>
      <c r="H65" s="62"/>
      <c r="I65" s="62"/>
      <c r="J65" s="5" t="str">
        <f>IF(F4="Yes","Y",IF(F65="Yes","Y","N"))</f>
        <v>N</v>
      </c>
      <c r="K65" s="5" t="str">
        <f t="shared" si="4"/>
        <v/>
      </c>
    </row>
    <row r="66" spans="1:11" ht="60">
      <c r="A66" s="40">
        <v>6</v>
      </c>
      <c r="B66" s="41" t="s">
        <v>122</v>
      </c>
      <c r="C66" s="42">
        <v>1</v>
      </c>
      <c r="D66" s="5" t="s">
        <v>123</v>
      </c>
      <c r="E66" s="5" t="s">
        <v>84</v>
      </c>
      <c r="F66" s="62"/>
      <c r="G66" s="5" t="str">
        <f>IF(F66="Yes","Data is classified to perform Encryption, Hashing, Encoding or Masking.",IF(OR(F66="No",F66="NA"),"Recommended to classify data to perform Encryption, Hashing, Encoding or Masking.",""))</f>
        <v/>
      </c>
      <c r="H66" s="62"/>
      <c r="I66" s="62"/>
      <c r="J66" s="5" t="str">
        <f t="shared" ref="J66:J67" si="7">IF(F66="Yes","Y","N")</f>
        <v>N</v>
      </c>
      <c r="K66" s="5" t="str">
        <f t="shared" si="4"/>
        <v/>
      </c>
    </row>
    <row r="67" spans="1:11" ht="36">
      <c r="A67" s="40">
        <v>7</v>
      </c>
      <c r="B67" s="41" t="s">
        <v>124</v>
      </c>
      <c r="C67" s="42">
        <v>1</v>
      </c>
      <c r="D67" s="5" t="s">
        <v>125</v>
      </c>
      <c r="E67" s="5" t="s">
        <v>84</v>
      </c>
      <c r="F67" s="62"/>
      <c r="G67" s="5" t="str">
        <f>IF(F67="Yes","Normal user is restricted to access the system resources and is given access based on the need.",IF(OR(F67="No",F67="NA"),"Recommended to restrict a normal user's access to system resources.",""))</f>
        <v/>
      </c>
      <c r="H67" s="62"/>
      <c r="I67" s="62"/>
      <c r="J67" s="5" t="str">
        <f t="shared" si="7"/>
        <v>N</v>
      </c>
      <c r="K67" s="5" t="str">
        <f t="shared" si="4"/>
        <v/>
      </c>
    </row>
    <row r="68" spans="1:11" ht="24">
      <c r="A68" s="42">
        <v>8</v>
      </c>
      <c r="B68" s="41" t="s">
        <v>126</v>
      </c>
      <c r="C68" s="40">
        <v>1</v>
      </c>
      <c r="D68" s="5" t="s">
        <v>127</v>
      </c>
      <c r="E68" s="5" t="str">
        <f>IF(F34="Yes","Yes","No")</f>
        <v>No</v>
      </c>
      <c r="F68" s="62"/>
      <c r="G68" s="5" t="str">
        <f>IF(F68="Yes","Audit trails are maintained for sensitive transactions.",IF(OR(F68="No",F68="NA"),"Recommended to maintain Audit Trails for sensitive Transactions.",""))</f>
        <v/>
      </c>
      <c r="H68" s="62"/>
      <c r="I68" s="62"/>
      <c r="J68" s="5" t="str">
        <f>IF(E68="No","Y",IF(OR(OR(F34="No",F34="NA"),F68="Yes"),"Y","N"))</f>
        <v>Y</v>
      </c>
      <c r="K68" s="5" t="str">
        <f t="shared" si="4"/>
        <v/>
      </c>
    </row>
    <row r="69" spans="1:11" ht="36">
      <c r="A69" s="40">
        <v>9</v>
      </c>
      <c r="B69" s="41" t="s">
        <v>128</v>
      </c>
      <c r="C69" s="40">
        <v>1</v>
      </c>
      <c r="D69" s="5" t="s">
        <v>129</v>
      </c>
      <c r="E69" s="5" t="str">
        <f>IF(D69&lt;&gt;"NA","Yes","No")</f>
        <v>Yes</v>
      </c>
      <c r="F69" s="62"/>
      <c r="G69" s="5" t="str">
        <f>IF(OR(F69="No",F69="NA"),"No sensitive content is generated.","")</f>
        <v/>
      </c>
      <c r="H69" s="62"/>
      <c r="I69" s="62"/>
      <c r="J69" s="5" t="str">
        <f>IF(F69="Yes",J70,IF(NOT(ISBLANK(F69)),"Y","N"))</f>
        <v>N</v>
      </c>
      <c r="K69" s="5"/>
    </row>
    <row r="70" spans="1:11" ht="48">
      <c r="A70" s="40"/>
      <c r="B70" s="5"/>
      <c r="C70" s="40">
        <v>1.1000000000000001</v>
      </c>
      <c r="D70" s="5" t="s">
        <v>130</v>
      </c>
      <c r="E70" s="5" t="str">
        <f>IF(F69="Yes","Yes","No")</f>
        <v>No</v>
      </c>
      <c r="F70" s="62"/>
      <c r="G70" s="5" t="str">
        <f>IF(F70="Yes","Sensitive contenet is generated on the fly.",IF(OR(F70="No",F70="NA"),"Recommended to generate sensitive content on the fly and transmit it directly to the browser rather than saving it in the web server's file system.",""))</f>
        <v/>
      </c>
      <c r="H70" s="62"/>
      <c r="I70" s="62"/>
      <c r="J70" s="5" t="str">
        <f>IF(F70="Yes","Y","N")</f>
        <v>N</v>
      </c>
      <c r="K70" s="5" t="str">
        <f>IF(AND(OR(F70="No",F70="NA"),ISBLANK(H70)),"Please enter your comments","")</f>
        <v/>
      </c>
    </row>
    <row r="71" spans="1:11" ht="24">
      <c r="A71" s="40">
        <v>10</v>
      </c>
      <c r="B71" s="41" t="s">
        <v>131</v>
      </c>
      <c r="C71" s="42">
        <v>1</v>
      </c>
      <c r="D71" s="5" t="s">
        <v>132</v>
      </c>
      <c r="E71" s="5" t="s">
        <v>84</v>
      </c>
      <c r="F71" s="62"/>
      <c r="G71" s="5" t="str">
        <f>IF(F71="Yes"," Operational controls are implemented securely.",IF(OR(F71="No",F71="NA"),"Recommended to Implement Operational controls securely.",""))</f>
        <v/>
      </c>
      <c r="H71" s="62"/>
      <c r="I71" s="62"/>
      <c r="J71" s="5" t="str">
        <f t="shared" ref="J71" si="8">IF(F71="Yes","Y","N")</f>
        <v>N</v>
      </c>
      <c r="K71" s="5" t="str">
        <f t="shared" ref="K71:K91" si="9">IF(AND(OR(F71="No",F71="NA"),ISBLANK(H71)),"Please enter your comments","")</f>
        <v/>
      </c>
    </row>
    <row r="72" spans="1:11" ht="36">
      <c r="A72" s="40">
        <v>11</v>
      </c>
      <c r="B72" s="41" t="s">
        <v>133</v>
      </c>
      <c r="C72" s="42">
        <v>1</v>
      </c>
      <c r="D72" s="5" t="s">
        <v>134</v>
      </c>
      <c r="E72" s="5" t="s">
        <v>84</v>
      </c>
      <c r="F72" s="62"/>
      <c r="G72" s="5" t="str">
        <f>IF(F72="Yes","Alerts and warnings are implemented for anomalies &amp; misbehavior.",IF(OR(F72="No",F72="NA"),"Recommended to implement alerts and warnings for anomalies &amp; misbehavior.",""))</f>
        <v/>
      </c>
      <c r="H72" s="62"/>
      <c r="I72" s="62"/>
      <c r="J72" s="5" t="str">
        <f t="shared" ref="J72" si="10">IF(F72="Yes","Y","N")</f>
        <v>N</v>
      </c>
      <c r="K72" s="5" t="str">
        <f t="shared" si="9"/>
        <v/>
      </c>
    </row>
    <row r="73" spans="1:11" ht="36">
      <c r="A73" s="40">
        <v>12</v>
      </c>
      <c r="B73" s="41" t="s">
        <v>135</v>
      </c>
      <c r="C73" s="42">
        <v>1</v>
      </c>
      <c r="D73" s="5" t="s">
        <v>136</v>
      </c>
      <c r="E73" s="5" t="str">
        <f>IF(F34="Yes","Yes","No")</f>
        <v>No</v>
      </c>
      <c r="F73" s="62"/>
      <c r="G73" s="5" t="str">
        <f>IF(F73="Yes","Unique transaction Ids are generated for sensitive transactions",IF(OR(F73="No",F73="NA"),"Recommended to generate unique transaction ids for sensitive transactions",""))</f>
        <v/>
      </c>
      <c r="H73" s="62"/>
      <c r="I73" s="62"/>
      <c r="J73" s="5" t="str">
        <f>IF(E73="No","Y",IF(OR(OR(F34="No",F34="NA"),F73="Yes"),"Y","N"))</f>
        <v>Y</v>
      </c>
      <c r="K73" s="5" t="str">
        <f t="shared" si="9"/>
        <v/>
      </c>
    </row>
    <row r="74" spans="1:11" ht="14.45">
      <c r="A74" s="84" t="s">
        <v>137</v>
      </c>
      <c r="B74" s="85"/>
      <c r="C74" s="85"/>
      <c r="D74" s="85"/>
      <c r="E74" s="85"/>
      <c r="F74" s="85"/>
      <c r="G74" s="85"/>
      <c r="H74" s="85"/>
      <c r="I74" s="85"/>
      <c r="J74" s="85"/>
      <c r="K74" s="86"/>
    </row>
    <row r="75" spans="1:11" ht="36">
      <c r="A75" s="40">
        <v>1</v>
      </c>
      <c r="B75" s="41" t="s">
        <v>138</v>
      </c>
      <c r="C75" s="40">
        <v>1</v>
      </c>
      <c r="D75" s="5" t="s">
        <v>139</v>
      </c>
      <c r="E75" s="5" t="s">
        <v>84</v>
      </c>
      <c r="F75" s="62"/>
      <c r="G75" s="5" t="str">
        <f>IF(F75="Yes","Recommended not trust any inputs from user, service or APIs.",IF(OR(F75="No",F75="NA"),"Inputs from user, services/API are verified before using them.",""))</f>
        <v/>
      </c>
      <c r="H75" s="62"/>
      <c r="I75" s="62"/>
      <c r="J75" s="5" t="str">
        <f>IF(F75="Yes","Y","N")</f>
        <v>N</v>
      </c>
      <c r="K75" s="5" t="str">
        <f t="shared" si="9"/>
        <v/>
      </c>
    </row>
    <row r="76" spans="1:11" ht="36">
      <c r="A76" s="40">
        <v>2</v>
      </c>
      <c r="B76" s="41" t="s">
        <v>140</v>
      </c>
      <c r="C76" s="40">
        <v>1</v>
      </c>
      <c r="D76" s="5" t="s">
        <v>141</v>
      </c>
      <c r="E76" s="5" t="s">
        <v>84</v>
      </c>
      <c r="F76" s="62"/>
      <c r="G76" s="5" t="str">
        <f>IF(F76="Yes","Whitelisting pattern is used while validating for malicious content instead of using blacklisting pattern.",IF(OR(F76="No",F76="NA"),"Recommended to use whitelisiting pattern over blacklisting while validating the malicious content.",""))</f>
        <v/>
      </c>
      <c r="H76" s="62"/>
      <c r="I76" s="62"/>
      <c r="J76" s="5" t="str">
        <f t="shared" ref="J76:J78" si="11">IF(F76="Yes","Y","N")</f>
        <v>N</v>
      </c>
      <c r="K76" s="5" t="str">
        <f t="shared" si="9"/>
        <v/>
      </c>
    </row>
    <row r="77" spans="1:11" ht="24">
      <c r="A77" s="40">
        <v>3</v>
      </c>
      <c r="B77" s="41" t="s">
        <v>142</v>
      </c>
      <c r="C77" s="40">
        <v>1</v>
      </c>
      <c r="D77" s="5" t="s">
        <v>143</v>
      </c>
      <c r="E77" s="5" t="s">
        <v>84</v>
      </c>
      <c r="F77" s="62"/>
      <c r="G77" s="5" t="str">
        <f>IF(F77="Yes","Validations are done at server side.",IF(OR(F77="No",F77="NA"),"Recommended to validate data at the server side.",""))</f>
        <v/>
      </c>
      <c r="H77" s="62"/>
      <c r="I77" s="62"/>
      <c r="J77" s="5" t="str">
        <f t="shared" si="11"/>
        <v>N</v>
      </c>
      <c r="K77" s="5" t="str">
        <f t="shared" si="9"/>
        <v/>
      </c>
    </row>
    <row r="78" spans="1:11" ht="36">
      <c r="A78" s="40">
        <v>4</v>
      </c>
      <c r="B78" s="41" t="s">
        <v>144</v>
      </c>
      <c r="C78" s="40">
        <v>1</v>
      </c>
      <c r="D78" s="5" t="s">
        <v>145</v>
      </c>
      <c r="E78" s="5" t="s">
        <v>84</v>
      </c>
      <c r="F78" s="62"/>
      <c r="G78" s="5" t="str">
        <f>IF(F78="Yes","The source, context, syntax &amp; semantics of data is validated.",IF(OR(F78="No",F78="NA"),"Recommended to validate the source, context, syntax &amp; semantics of data.",""))</f>
        <v/>
      </c>
      <c r="H78" s="62"/>
      <c r="I78" s="62"/>
      <c r="J78" s="5" t="str">
        <f t="shared" si="11"/>
        <v>N</v>
      </c>
      <c r="K78" s="5" t="str">
        <f t="shared" si="9"/>
        <v/>
      </c>
    </row>
    <row r="79" spans="1:11" ht="24">
      <c r="A79" s="40">
        <v>5</v>
      </c>
      <c r="B79" s="41" t="s">
        <v>146</v>
      </c>
      <c r="C79" s="42">
        <v>1</v>
      </c>
      <c r="D79" s="5" t="s">
        <v>147</v>
      </c>
      <c r="E79" s="5" t="str">
        <f>IF(D79&lt;&gt;"NA","Yes","No")</f>
        <v>Yes</v>
      </c>
      <c r="F79" s="62"/>
      <c r="G79" s="5" t="str">
        <f>IF(OR(F79="No",F79="NA"),"No file are being processed by the application.","")</f>
        <v/>
      </c>
      <c r="H79" s="62"/>
      <c r="I79" s="62"/>
      <c r="J79" s="5" t="str">
        <f>IF(F79="Yes",J80,IF(NOT(ISBLANK(F79)),"Y","N"))</f>
        <v>N</v>
      </c>
      <c r="K79" s="5"/>
    </row>
    <row r="80" spans="1:11" ht="24">
      <c r="A80" s="40"/>
      <c r="B80" s="5"/>
      <c r="C80" s="40">
        <v>1.1000000000000001</v>
      </c>
      <c r="D80" s="5" t="s">
        <v>148</v>
      </c>
      <c r="E80" s="5" t="str">
        <f>IF(F79="Yes","Yes","No")</f>
        <v>No</v>
      </c>
      <c r="F80" s="62"/>
      <c r="G80" s="5" t="str">
        <f>IF(F80="Yes","The file type, length, magic number &amp; size are checked for the file.",IF(OR(F80="No",F80="NA"),"Recommended to check  the file type, leagth, magic number &amp; size for the file.",""))</f>
        <v/>
      </c>
      <c r="H80" s="62"/>
      <c r="I80" s="62"/>
      <c r="J80" s="5" t="str">
        <f>IF(F80="Yes","Y","N")</f>
        <v>N</v>
      </c>
      <c r="K80" s="5" t="str">
        <f t="shared" si="9"/>
        <v/>
      </c>
    </row>
    <row r="81" spans="1:11" ht="24">
      <c r="A81" s="40">
        <v>6</v>
      </c>
      <c r="B81" s="41" t="s">
        <v>149</v>
      </c>
      <c r="C81" s="40">
        <v>1</v>
      </c>
      <c r="D81" s="5" t="s">
        <v>150</v>
      </c>
      <c r="E81" s="5" t="s">
        <v>84</v>
      </c>
      <c r="F81" s="62"/>
      <c r="G81" s="5" t="str">
        <f>IF(F81="Yes","Centralized methods are  implemented for validation.",IF(OR(F81="No",F81="NA"),"Recommended to implement centralized methods for validation.",""))</f>
        <v/>
      </c>
      <c r="H81" s="62"/>
      <c r="I81" s="62"/>
      <c r="J81" s="5" t="str">
        <f t="shared" ref="J81" si="12">IF(F81="Yes","Y","N")</f>
        <v>N</v>
      </c>
      <c r="K81" s="5" t="str">
        <f t="shared" si="9"/>
        <v/>
      </c>
    </row>
    <row r="82" spans="1:11" ht="36">
      <c r="A82" s="40">
        <v>7</v>
      </c>
      <c r="B82" s="41" t="s">
        <v>151</v>
      </c>
      <c r="C82" s="40">
        <v>1</v>
      </c>
      <c r="D82" s="5" t="s">
        <v>152</v>
      </c>
      <c r="E82" s="5" t="str">
        <f>IF(F83="Yes","No","Yes")</f>
        <v>Yes</v>
      </c>
      <c r="F82" s="62"/>
      <c r="G82" s="5" t="str">
        <f>IF(F82="Yes","The application uses standard APIs for verification.",IF(OR(F82="No",F82="NA"),"Recommended to use standard APIs for verification.",""))</f>
        <v/>
      </c>
      <c r="H82" s="62"/>
      <c r="I82" s="62"/>
      <c r="J82" s="5" t="str">
        <f>IF(F82="Yes","Y","N")</f>
        <v>N</v>
      </c>
      <c r="K82" s="5" t="str">
        <f t="shared" si="9"/>
        <v/>
      </c>
    </row>
    <row r="83" spans="1:11">
      <c r="A83" s="40"/>
      <c r="B83" s="5"/>
      <c r="C83" s="40">
        <v>2</v>
      </c>
      <c r="D83" s="5" t="s">
        <v>45</v>
      </c>
      <c r="E83" s="5" t="str">
        <f>IF(F82="Yes","No","Yes")</f>
        <v>Yes</v>
      </c>
      <c r="F83" s="62"/>
      <c r="G83" s="5"/>
      <c r="H83" s="62"/>
      <c r="I83" s="62"/>
      <c r="J83" s="5"/>
      <c r="K83" s="5" t="str">
        <f>IF(AND(F83="Yes",ISBLANK(H83)),"Please enter your comments","")</f>
        <v/>
      </c>
    </row>
    <row r="84" spans="1:11" ht="36">
      <c r="A84" s="40">
        <v>6</v>
      </c>
      <c r="B84" s="41" t="s">
        <v>153</v>
      </c>
      <c r="C84" s="40">
        <v>1</v>
      </c>
      <c r="D84" s="5" t="s">
        <v>154</v>
      </c>
      <c r="E84" s="5" t="s">
        <v>84</v>
      </c>
      <c r="F84" s="62"/>
      <c r="G84" s="5" t="str">
        <f>IF(F84="Yes","Validation is done or data locking is performed at the time of usage.",IF(OR(F84="No",F84="NA"),"Recommended to validate the data or appropriate locking is done at the time of usage.",""))</f>
        <v/>
      </c>
      <c r="H84" s="62"/>
      <c r="I84" s="62"/>
      <c r="J84" s="5" t="str">
        <f t="shared" ref="J84" si="13">IF(F84="Yes","Y","N")</f>
        <v>N</v>
      </c>
      <c r="K84" s="5" t="str">
        <f t="shared" si="9"/>
        <v/>
      </c>
    </row>
    <row r="85" spans="1:11" ht="14.45">
      <c r="A85" s="84" t="s">
        <v>155</v>
      </c>
      <c r="B85" s="85"/>
      <c r="C85" s="85"/>
      <c r="D85" s="85"/>
      <c r="E85" s="85"/>
      <c r="F85" s="85"/>
      <c r="G85" s="85"/>
      <c r="H85" s="85"/>
      <c r="I85" s="85"/>
      <c r="J85" s="85"/>
      <c r="K85" s="86"/>
    </row>
    <row r="86" spans="1:11" ht="24">
      <c r="A86" s="40">
        <v>1</v>
      </c>
      <c r="B86" s="41" t="s">
        <v>156</v>
      </c>
      <c r="C86" s="42">
        <v>1</v>
      </c>
      <c r="D86" s="43" t="s">
        <v>157</v>
      </c>
      <c r="E86" s="5" t="str">
        <f>IF(F4="Yes","No","Yes")</f>
        <v>Yes</v>
      </c>
      <c r="F86" s="62"/>
      <c r="G86" s="5" t="str">
        <f>IF(OR(F86="No",F86="NA"),"Recommend to have configurable session time-out with max of 30mins. Application should invalidate the session on time-out.","")</f>
        <v/>
      </c>
      <c r="H86" s="62"/>
      <c r="I86" s="62"/>
      <c r="J86" s="5" t="str">
        <f>IF(F4="Yes","Y",J87)</f>
        <v>N</v>
      </c>
      <c r="K86" s="5" t="str">
        <f t="shared" si="9"/>
        <v/>
      </c>
    </row>
    <row r="87" spans="1:11" ht="24">
      <c r="A87" s="40"/>
      <c r="B87" s="5"/>
      <c r="C87" s="40">
        <v>1.1000000000000001</v>
      </c>
      <c r="D87" s="44" t="s">
        <v>158</v>
      </c>
      <c r="E87" s="5" t="str">
        <f>IF(F86="Yes","Yes","No")</f>
        <v>No</v>
      </c>
      <c r="F87" s="62"/>
      <c r="G87" s="5" t="str">
        <f>IF(OR(F87="No",F87="NA"),"Application has configurable timeout. However recommend to invalidate  the session on 30mins idle time at server side.","")</f>
        <v/>
      </c>
      <c r="H87" s="62"/>
      <c r="I87" s="62"/>
      <c r="J87" s="5" t="str">
        <f>IF(F87="Yes",J88,"N")</f>
        <v>N</v>
      </c>
      <c r="K87" s="5" t="str">
        <f t="shared" si="9"/>
        <v/>
      </c>
    </row>
    <row r="88" spans="1:11">
      <c r="A88" s="40"/>
      <c r="B88" s="5"/>
      <c r="C88" s="40" t="s">
        <v>159</v>
      </c>
      <c r="D88" s="43" t="s">
        <v>160</v>
      </c>
      <c r="E88" s="5" t="str">
        <f>IF(AND(F86="Yes",F87="Yes"),"Yes","No")</f>
        <v>No</v>
      </c>
      <c r="F88" s="62"/>
      <c r="G88" s="5" t="str">
        <f>IF(F88="Yes","Application has configurable session timeout with max of 30mins. Session is invalidated on time-out at server side.",IF(OR(F88="No",F88="NA"),"Application has configurable timeout with max of 30mins. However recommend to invalidate the session on timeout at server side.",""))</f>
        <v/>
      </c>
      <c r="H88" s="62"/>
      <c r="I88" s="62"/>
      <c r="J88" s="5" t="str">
        <f>IF(F88="Yes","Y","N")</f>
        <v>N</v>
      </c>
      <c r="K88" s="5" t="str">
        <f t="shared" si="9"/>
        <v/>
      </c>
    </row>
    <row r="89" spans="1:11" ht="36">
      <c r="A89" s="40">
        <v>2</v>
      </c>
      <c r="B89" s="41" t="s">
        <v>161</v>
      </c>
      <c r="C89" s="40">
        <v>1</v>
      </c>
      <c r="D89" s="5" t="s">
        <v>162</v>
      </c>
      <c r="E89" s="5" t="str">
        <f>IF(F4="Yes","No","Yes")</f>
        <v>Yes</v>
      </c>
      <c r="F89" s="62"/>
      <c r="G89" s="5" t="str">
        <f>IF(F89="Yes","Same SIDs are not reused after logout.",IF(OR(F89="No",F89="NA"),"Recommended not to reuse the same SID for same or other user after logout.",""))</f>
        <v/>
      </c>
      <c r="H89" s="62"/>
      <c r="I89" s="62"/>
      <c r="J89" s="5" t="str">
        <f>IF(F4="Yes","Y",IF(F89="Yes","Y","N"))</f>
        <v>N</v>
      </c>
      <c r="K89" s="5" t="str">
        <f t="shared" si="9"/>
        <v/>
      </c>
    </row>
    <row r="90" spans="1:11" ht="48">
      <c r="A90" s="40">
        <v>3</v>
      </c>
      <c r="B90" s="41" t="s">
        <v>163</v>
      </c>
      <c r="C90" s="40">
        <v>1</v>
      </c>
      <c r="D90" s="5" t="s">
        <v>164</v>
      </c>
      <c r="E90" s="5" t="str">
        <f>IF(F4="Yes","No","Yes")</f>
        <v>Yes</v>
      </c>
      <c r="F90" s="62"/>
      <c r="G90" s="5" t="str">
        <f>IF(F90="Yes","Session Identifiers must not be stored in query strings or hidden parameters.",IF(OR(F90="No",F90="NA"),"Session Identifiers are not stored in query strings or hidden parameters.",""))</f>
        <v/>
      </c>
      <c r="H90" s="62"/>
      <c r="I90" s="62"/>
      <c r="J90" s="5" t="str">
        <f>IF(F4="Yes","Y",IF(F90="Yes","N",IF(NOT(ISBLANK(F90)),"Y","N")))</f>
        <v>N</v>
      </c>
      <c r="K90" s="5" t="str">
        <f>IF(AND(F90="Yes",ISBLANK(H90)),"Please enter your comments","")</f>
        <v/>
      </c>
    </row>
    <row r="91" spans="1:11" ht="36">
      <c r="A91" s="40">
        <v>4</v>
      </c>
      <c r="B91" s="41" t="s">
        <v>165</v>
      </c>
      <c r="C91" s="45">
        <v>1</v>
      </c>
      <c r="D91" s="43" t="s">
        <v>166</v>
      </c>
      <c r="E91" s="5" t="str">
        <f>IF(F4="Yes","No","Yes")</f>
        <v>Yes</v>
      </c>
      <c r="F91" s="62"/>
      <c r="G91" s="5" t="str">
        <f>IF(OR(F91="No","NA"),"Recommend to store the session identifiers or tokens securely at server side.","")</f>
        <v/>
      </c>
      <c r="H91" s="62"/>
      <c r="I91" s="62"/>
      <c r="J91" s="5" t="str">
        <f>IF(F4="Yes","Y",IF(F91&lt;&gt;"Yes","N",IF(COUNTIF(J92:J93,"Y")&gt;0,"Y","N")))</f>
        <v>N</v>
      </c>
      <c r="K91" s="5" t="str">
        <f t="shared" si="9"/>
        <v/>
      </c>
    </row>
    <row r="92" spans="1:11" ht="24">
      <c r="A92" s="40"/>
      <c r="B92" s="5"/>
      <c r="C92" s="45">
        <v>1.1000000000000001</v>
      </c>
      <c r="D92" s="43" t="s">
        <v>167</v>
      </c>
      <c r="E92" s="5" t="str">
        <f>IF(OR(COUNTIF(F93:F94,"Yes")&gt;0,F91&lt;&gt;"Yes"),"No","Yes")</f>
        <v>No</v>
      </c>
      <c r="F92" s="62"/>
      <c r="G92" s="5" t="str">
        <f>IF(F92="Yes","",IF(NOT(ISBLANK(F92)),"Session Ids are not stored in persistent storage.",""))</f>
        <v/>
      </c>
      <c r="H92" s="62"/>
      <c r="I92" s="62"/>
      <c r="J92" s="5" t="str">
        <f>IF(F92="Yes",J95,IF(NOT(ISBLANK(F92)),"Y","N"))</f>
        <v>N</v>
      </c>
      <c r="K92" s="5"/>
    </row>
    <row r="93" spans="1:11" ht="24">
      <c r="A93" s="40"/>
      <c r="B93" s="5"/>
      <c r="C93" s="45">
        <v>1.2</v>
      </c>
      <c r="D93" s="43" t="s">
        <v>168</v>
      </c>
      <c r="E93" s="5" t="str">
        <f>IF(OR(OR(F92="Yes",COUNTIF(F94,"Yes")&gt;0),F91&lt;&gt;"Yes"),"No","Yes")</f>
        <v>No</v>
      </c>
      <c r="F93" s="62"/>
      <c r="G93" s="5" t="str">
        <f>IF(F93="Yes","Session identifiers or tokens stored securely in server in-memory.","")</f>
        <v/>
      </c>
      <c r="H93" s="62"/>
      <c r="I93" s="62"/>
      <c r="J93" s="5" t="str">
        <f>IF(F93="Yes","Y","N")</f>
        <v>N</v>
      </c>
      <c r="K93" s="5"/>
    </row>
    <row r="94" spans="1:11">
      <c r="A94" s="40"/>
      <c r="B94" s="5"/>
      <c r="C94" s="45">
        <v>1.3</v>
      </c>
      <c r="D94" s="43" t="s">
        <v>45</v>
      </c>
      <c r="E94" s="5" t="str">
        <f>IF(OR(COUNTIF(F92:F93,"Yes")&gt;0,F91&lt;&gt;"Yes"),"No","Yes")</f>
        <v>No</v>
      </c>
      <c r="F94" s="62"/>
      <c r="G94" s="5"/>
      <c r="H94" s="62"/>
      <c r="I94" s="62"/>
      <c r="J94" s="5"/>
      <c r="K94" s="5" t="str">
        <f>IF(AND(F94="Yes",ISBLANK(H94)),"Please enter your comments","")</f>
        <v/>
      </c>
    </row>
    <row r="95" spans="1:11" ht="36">
      <c r="A95" s="40"/>
      <c r="B95" s="5"/>
      <c r="C95" s="45" t="s">
        <v>159</v>
      </c>
      <c r="D95" s="43" t="s">
        <v>169</v>
      </c>
      <c r="E95" s="5" t="str">
        <f>IF(AND(F91="Yes",F92="Yes"),"Yes","No")</f>
        <v>No</v>
      </c>
      <c r="F95" s="62"/>
      <c r="G95" s="5"/>
      <c r="H95" s="62"/>
      <c r="I95" s="62"/>
      <c r="J95" s="5" t="str">
        <f>IF(F95="Yes","Y","N")</f>
        <v>N</v>
      </c>
      <c r="K95" s="5" t="str">
        <f t="shared" ref="K95:K112" si="14">IF(AND(OR(F95="No",F95="NA"),ISBLANK(H95)),"Please enter your comments","")</f>
        <v/>
      </c>
    </row>
    <row r="96" spans="1:11" ht="72">
      <c r="A96" s="42">
        <v>5</v>
      </c>
      <c r="B96" s="41" t="s">
        <v>170</v>
      </c>
      <c r="C96" s="40">
        <v>1</v>
      </c>
      <c r="D96" s="5" t="s">
        <v>171</v>
      </c>
      <c r="E96" s="5" t="str">
        <f>IF(F4="Yes","No","Yes")</f>
        <v>Yes</v>
      </c>
      <c r="F96" s="62"/>
      <c r="G96" s="5" t="str">
        <f>IF(F96="Yes","Session IDs are generated  with appropriate randomness and length using the framework's session manager ",IF(OR(F96="No",F96="NA"),"Recommended to use properly generated session IDs using framework's session manager.",""))</f>
        <v/>
      </c>
      <c r="H96" s="62"/>
      <c r="I96" s="62"/>
      <c r="J96" s="5" t="str">
        <f>IF(E96="No","Y",IF(F96="Yes","Y","N"))</f>
        <v>N</v>
      </c>
      <c r="K96" s="5" t="str">
        <f t="shared" si="14"/>
        <v/>
      </c>
    </row>
    <row r="97" spans="1:11" ht="108">
      <c r="A97" s="40">
        <v>6</v>
      </c>
      <c r="B97" s="41" t="s">
        <v>172</v>
      </c>
      <c r="C97" s="40">
        <v>1</v>
      </c>
      <c r="D97" s="5" t="s">
        <v>173</v>
      </c>
      <c r="E97" s="5" t="str">
        <f>IF('Asset Info'!B10="No","No",IF(F86="Yes","Yes","No"))</f>
        <v>No</v>
      </c>
      <c r="F97" s="62"/>
      <c r="G97" s="5" t="str">
        <f>IF(F97="Yes","Different session timeouts are configured for different roles or access areas.",IF(OR(F97="No",F97="NA"),"Recommended to configure different session timeouts for different roles or access areas.",""))</f>
        <v/>
      </c>
      <c r="H97" s="62"/>
      <c r="I97" s="62"/>
      <c r="J97" s="5" t="str">
        <f>IF(E97="No","Y",IF('Asset Info'!B10="No","Y",IF(F97="Yes","Y","N")))</f>
        <v>Y</v>
      </c>
      <c r="K97" s="5" t="str">
        <f t="shared" si="14"/>
        <v/>
      </c>
    </row>
    <row r="98" spans="1:11" ht="24">
      <c r="A98" s="40">
        <v>7</v>
      </c>
      <c r="B98" s="41" t="s">
        <v>174</v>
      </c>
      <c r="C98" s="40">
        <v>1</v>
      </c>
      <c r="D98" s="5" t="s">
        <v>175</v>
      </c>
      <c r="E98" s="5" t="str">
        <f>IF(F34="Yes","Yes","No")</f>
        <v>No</v>
      </c>
      <c r="F98" s="62"/>
      <c r="G98" s="5" t="str">
        <f>IF(F98="Yes","The application renews SIDs before sensitive transaction.",IF(OR(F98="No",F98="NA"),"Recommended to configure different session timeouts for different roles or access areas.",""))</f>
        <v/>
      </c>
      <c r="H98" s="62"/>
      <c r="I98" s="62"/>
      <c r="J98" s="5" t="str">
        <f>IF(E98="No","Y",IF(OR(OR(F34="No",F34="NA"),F98="Yes"),"Y","N"))</f>
        <v>Y</v>
      </c>
      <c r="K98" s="5" t="str">
        <f t="shared" si="14"/>
        <v/>
      </c>
    </row>
    <row r="99" spans="1:11" ht="48">
      <c r="A99" s="40">
        <v>8</v>
      </c>
      <c r="B99" s="41" t="s">
        <v>176</v>
      </c>
      <c r="C99" s="40">
        <v>1</v>
      </c>
      <c r="D99" s="5" t="s">
        <v>177</v>
      </c>
      <c r="E99" s="5" t="str">
        <f>IF(F34="Yes","Yes","No")</f>
        <v>No</v>
      </c>
      <c r="F99" s="62"/>
      <c r="G99" s="5" t="str">
        <f>IF(F99="Yes","Recommended not have multiple session IDs for same account at the same time.",IF(OR(F99="No",F99="NA"),"Recommended to renew SIDs before any critical/sensitive transactions.",""))</f>
        <v/>
      </c>
      <c r="H99" s="62"/>
      <c r="I99" s="62"/>
      <c r="J99" s="5" t="str">
        <f>IF(E99="No","Y",IF(OR(F34="No",F34="NA"),"Y",IF(F99="Yes","N",IF(NOT(ISBLANK(F99)),"Y","N"))))</f>
        <v>Y</v>
      </c>
      <c r="K99" s="5" t="str">
        <f>IF(AND(F99="Yes",ISBLANK(H99)),"Please enter your comments","")</f>
        <v/>
      </c>
    </row>
    <row r="100" spans="1:11" ht="36">
      <c r="A100" s="40">
        <v>9</v>
      </c>
      <c r="B100" s="41" t="s">
        <v>178</v>
      </c>
      <c r="C100" s="40">
        <v>1</v>
      </c>
      <c r="D100" s="5" t="s">
        <v>179</v>
      </c>
      <c r="E100" s="5" t="str">
        <f>IF(F34="Yes","Yes","No")</f>
        <v>No</v>
      </c>
      <c r="F100" s="62"/>
      <c r="G100" s="5" t="str">
        <f>IF(F100="Yes","User is logged out forcefully after certain active time.",IF(OR(F100="No",F100="NA"),"Recommended to logout user forcefully after a sufficient active period.",""))</f>
        <v/>
      </c>
      <c r="H100" s="62"/>
      <c r="I100" s="62"/>
      <c r="J100" s="5" t="str">
        <f>IF(E100="No","Y",IF(OR(OR(F34="No",F34="NA"),F100="Yes"),"Y","N"))</f>
        <v>Y</v>
      </c>
      <c r="K100" s="5" t="str">
        <f t="shared" si="14"/>
        <v/>
      </c>
    </row>
    <row r="101" spans="1:11" ht="24">
      <c r="A101" s="40">
        <v>10</v>
      </c>
      <c r="B101" s="41" t="s">
        <v>180</v>
      </c>
      <c r="C101" s="40">
        <v>1</v>
      </c>
      <c r="D101" s="5" t="s">
        <v>181</v>
      </c>
      <c r="E101" s="5" t="str">
        <f>IF(F4="Yes","No","Yes")</f>
        <v>Yes</v>
      </c>
      <c r="F101" s="62"/>
      <c r="G101" s="5" t="str">
        <f>IF(F101="Yes","The application logs all the attempts made with invalid session IDs.",IF(OR(F101="No",F101="NA"),"Recommended to log all the attempts made with invalid session IDs.",""))</f>
        <v/>
      </c>
      <c r="H101" s="62"/>
      <c r="I101" s="62"/>
      <c r="J101" s="5" t="str">
        <f>IF(E101="No","Y",IF(F101="Yes","Y","N"))</f>
        <v>N</v>
      </c>
      <c r="K101" s="5" t="str">
        <f t="shared" si="14"/>
        <v/>
      </c>
    </row>
    <row r="102" spans="1:11" ht="14.45">
      <c r="A102" s="84" t="s">
        <v>182</v>
      </c>
      <c r="B102" s="85"/>
      <c r="C102" s="85"/>
      <c r="D102" s="85"/>
      <c r="E102" s="85"/>
      <c r="F102" s="85"/>
      <c r="G102" s="85"/>
      <c r="H102" s="85"/>
      <c r="I102" s="85"/>
      <c r="J102" s="85"/>
      <c r="K102" s="86"/>
    </row>
    <row r="103" spans="1:11" ht="60">
      <c r="A103" s="40">
        <v>1</v>
      </c>
      <c r="B103" s="41" t="s">
        <v>183</v>
      </c>
      <c r="C103" s="40">
        <v>1</v>
      </c>
      <c r="D103" s="46" t="s">
        <v>184</v>
      </c>
      <c r="E103" s="5" t="s">
        <v>84</v>
      </c>
      <c r="F103" s="62"/>
      <c r="G103" s="5" t="str">
        <f>IF(F103="Yes","The application addresses specific exception instead of addressing generic exception.",IF(OR(F103="No",F103="NA"),"Recommended to address specific exception instead of addressing generic exception.",""))</f>
        <v/>
      </c>
      <c r="H103" s="62"/>
      <c r="I103" s="62"/>
      <c r="J103" s="5" t="str">
        <f t="shared" ref="J103" si="15">IF(F103="Yes","Y","N")</f>
        <v>N</v>
      </c>
      <c r="K103" s="5" t="str">
        <f t="shared" si="14"/>
        <v/>
      </c>
    </row>
    <row r="104" spans="1:11" ht="36">
      <c r="A104" s="40">
        <v>2</v>
      </c>
      <c r="B104" s="41" t="s">
        <v>185</v>
      </c>
      <c r="C104" s="40">
        <v>1</v>
      </c>
      <c r="D104" s="46" t="s">
        <v>186</v>
      </c>
      <c r="E104" s="5" t="s">
        <v>84</v>
      </c>
      <c r="F104" s="62"/>
      <c r="G104" s="5" t="str">
        <f>IF(F104="Yes","Application does not have any empty try/catch/finally blocks.",IF(OR(F104="No",F104="NA"),"Recommended to remove all such empty try/catch/finally blocks.",""))</f>
        <v/>
      </c>
      <c r="H104" s="62"/>
      <c r="I104" s="62"/>
      <c r="J104" s="5" t="str">
        <f t="shared" ref="J104" si="16">IF(F104="Yes","Y","N")</f>
        <v>N</v>
      </c>
      <c r="K104" s="5" t="str">
        <f t="shared" si="14"/>
        <v/>
      </c>
    </row>
    <row r="105" spans="1:11" ht="24">
      <c r="A105" s="40">
        <v>3</v>
      </c>
      <c r="B105" s="41" t="s">
        <v>187</v>
      </c>
      <c r="C105" s="40">
        <v>1</v>
      </c>
      <c r="D105" s="46" t="s">
        <v>188</v>
      </c>
      <c r="E105" s="5" t="s">
        <v>84</v>
      </c>
      <c r="F105" s="62"/>
      <c r="G105" s="5" t="str">
        <f>IF(F105="Yes","The application checks the return value.",IF(OR(F105="No",F105="NA"),"Recommended to check the return values.",""))</f>
        <v/>
      </c>
      <c r="H105" s="62"/>
      <c r="I105" s="62"/>
      <c r="J105" s="5" t="str">
        <f t="shared" ref="J105:J111" si="17">IF(F105="Yes","Y","N")</f>
        <v>N</v>
      </c>
      <c r="K105" s="5" t="str">
        <f t="shared" si="14"/>
        <v/>
      </c>
    </row>
    <row r="106" spans="1:11" ht="24">
      <c r="A106" s="40">
        <v>4</v>
      </c>
      <c r="B106" s="41" t="s">
        <v>189</v>
      </c>
      <c r="C106" s="40">
        <v>1</v>
      </c>
      <c r="D106" s="46" t="s">
        <v>190</v>
      </c>
      <c r="E106" s="5" t="s">
        <v>84</v>
      </c>
      <c r="F106" s="62"/>
      <c r="G106" s="5" t="str">
        <f>IF(F106="Yes","Need to know or actionable information is disclosed to user.",IF(OR(F106="No",F106="NA"),"Recommended to disclose  need to know or actionable information to user.",""))</f>
        <v/>
      </c>
      <c r="H106" s="62"/>
      <c r="I106" s="62"/>
      <c r="J106" s="5" t="str">
        <f t="shared" si="17"/>
        <v>N</v>
      </c>
      <c r="K106" s="5" t="str">
        <f t="shared" si="14"/>
        <v/>
      </c>
    </row>
    <row r="107" spans="1:11" ht="48">
      <c r="A107" s="40">
        <v>5</v>
      </c>
      <c r="B107" s="41" t="s">
        <v>191</v>
      </c>
      <c r="C107" s="40">
        <v>1</v>
      </c>
      <c r="D107" s="46" t="s">
        <v>192</v>
      </c>
      <c r="E107" s="5" t="s">
        <v>84</v>
      </c>
      <c r="F107" s="62"/>
      <c r="G107" s="5" t="str">
        <f>IF(F107="Yes","Error messages are sanitised.",IF(OR(F107="No",F107="NA"),"Recommended to configure the server with default error handler that returns an appropriately sanitised error message for all error paths",""))</f>
        <v/>
      </c>
      <c r="H107" s="62"/>
      <c r="I107" s="62"/>
      <c r="J107" s="5" t="str">
        <f t="shared" si="17"/>
        <v>N</v>
      </c>
      <c r="K107" s="5" t="str">
        <f t="shared" si="14"/>
        <v/>
      </c>
    </row>
    <row r="108" spans="1:11" ht="60">
      <c r="A108" s="40">
        <v>6</v>
      </c>
      <c r="B108" s="41" t="s">
        <v>193</v>
      </c>
      <c r="C108" s="40">
        <v>1</v>
      </c>
      <c r="D108" s="5" t="s">
        <v>194</v>
      </c>
      <c r="E108" s="5" t="s">
        <v>84</v>
      </c>
      <c r="F108" s="62"/>
      <c r="G108" s="5" t="str">
        <f>IF(F108="Yes","Recommended to have such failures handled.",IF(OR(F108="No",F108="NA"),"No internal information is exposed during failues.",""))</f>
        <v/>
      </c>
      <c r="H108" s="62"/>
      <c r="I108" s="62"/>
      <c r="J108" s="5" t="str">
        <f>IF(F108="Yes","N",IF(NOT(ISBLANK(F108)),"Y","N"))</f>
        <v>N</v>
      </c>
      <c r="K108" s="5" t="str">
        <f>IF(AND(F108="Yes",ISBLANK(H108)),"Please enter your comments","")</f>
        <v/>
      </c>
    </row>
    <row r="109" spans="1:11" ht="36">
      <c r="A109" s="40">
        <v>7</v>
      </c>
      <c r="B109" s="41" t="s">
        <v>195</v>
      </c>
      <c r="C109" s="40">
        <v>1</v>
      </c>
      <c r="D109" s="5" t="s">
        <v>196</v>
      </c>
      <c r="E109" s="5" t="s">
        <v>84</v>
      </c>
      <c r="F109" s="62"/>
      <c r="G109" s="5" t="str">
        <f>IF(F109="Yes","An error code book is constructed for unique error messages with error code for error logging.",IF(OR(F109="No",F109="NA"),"Recommended to construct an Error code book for unique error messages with error code for error logging.",""))</f>
        <v/>
      </c>
      <c r="H109" s="62"/>
      <c r="I109" s="62"/>
      <c r="J109" s="5" t="str">
        <f t="shared" si="17"/>
        <v>N</v>
      </c>
      <c r="K109" s="5" t="str">
        <f t="shared" si="14"/>
        <v/>
      </c>
    </row>
    <row r="110" spans="1:11" ht="24">
      <c r="A110" s="40">
        <v>8</v>
      </c>
      <c r="B110" s="41" t="s">
        <v>197</v>
      </c>
      <c r="C110" s="40">
        <v>1</v>
      </c>
      <c r="D110" s="5" t="s">
        <v>198</v>
      </c>
      <c r="E110" s="5" t="s">
        <v>84</v>
      </c>
      <c r="F110" s="62"/>
      <c r="G110" s="5" t="str">
        <f>IF(F110="Yes","Centralised error and exception management strategy is deployed.",IF(OR(F110="No",F110="NA"),"Recommended to deploy a centralised error and exception management strategy.",""))</f>
        <v/>
      </c>
      <c r="H110" s="62"/>
      <c r="I110" s="62"/>
      <c r="J110" s="5" t="str">
        <f t="shared" si="17"/>
        <v>N</v>
      </c>
      <c r="K110" s="5" t="str">
        <f t="shared" si="14"/>
        <v/>
      </c>
    </row>
    <row r="111" spans="1:11" ht="60">
      <c r="A111" s="40">
        <v>9</v>
      </c>
      <c r="B111" s="41" t="s">
        <v>199</v>
      </c>
      <c r="C111" s="40">
        <v>1</v>
      </c>
      <c r="D111" s="46" t="s">
        <v>200</v>
      </c>
      <c r="E111" s="5" t="s">
        <v>84</v>
      </c>
      <c r="F111" s="62"/>
      <c r="G111" s="5" t="str">
        <f>IF(F111="Yes","In-case system crashes or critical function failure, changes are undone and system is restored to a secure state, all transactions are rolledback.",IF(OR(F111="No",F111="NA"),"Recommended that in-case system crashes or critical function failure, changes are undone and system is restored to a secure state, all transactions are rolledback.",""))</f>
        <v/>
      </c>
      <c r="H111" s="62"/>
      <c r="I111" s="62"/>
      <c r="J111" s="5" t="str">
        <f t="shared" si="17"/>
        <v>N</v>
      </c>
      <c r="K111" s="5" t="str">
        <f t="shared" si="14"/>
        <v/>
      </c>
    </row>
    <row r="112" spans="1:11" ht="60">
      <c r="A112" s="40">
        <v>10</v>
      </c>
      <c r="B112" s="41" t="s">
        <v>201</v>
      </c>
      <c r="C112" s="40">
        <v>1</v>
      </c>
      <c r="D112" s="44" t="s">
        <v>202</v>
      </c>
      <c r="E112" s="5" t="str">
        <f>IF(F34="Yes","Yes","No")</f>
        <v>No</v>
      </c>
      <c r="F112" s="62"/>
      <c r="G112" s="5" t="str">
        <f>IF(F112="Yes","Alarms are generated for sequential exceptions in critical transactions.",IF(OR(F112="No",F112="NA"),"Recommended to generate alarms for sequential exceptions in critical transactions.",""))</f>
        <v/>
      </c>
      <c r="H112" s="62"/>
      <c r="I112" s="62"/>
      <c r="J112" s="5" t="str">
        <f>IF(E112="No","Y",IF(OR(F34="No",F34="NA"),"Y",IF(F112="Yes","Y","N")))</f>
        <v>Y</v>
      </c>
      <c r="K112" s="5" t="str">
        <f t="shared" si="14"/>
        <v/>
      </c>
    </row>
    <row r="113" spans="1:11" ht="14.45">
      <c r="A113" s="84" t="s">
        <v>203</v>
      </c>
      <c r="B113" s="85"/>
      <c r="C113" s="85"/>
      <c r="D113" s="85"/>
      <c r="E113" s="85"/>
      <c r="F113" s="85"/>
      <c r="G113" s="85"/>
      <c r="H113" s="85"/>
      <c r="I113" s="85"/>
      <c r="J113" s="85"/>
      <c r="K113" s="86"/>
    </row>
    <row r="114" spans="1:11" ht="36">
      <c r="A114" s="40">
        <v>1</v>
      </c>
      <c r="B114" s="47" t="s">
        <v>204</v>
      </c>
      <c r="C114" s="40">
        <v>1</v>
      </c>
      <c r="D114" s="46" t="s">
        <v>205</v>
      </c>
      <c r="E114" s="5" t="s">
        <v>84</v>
      </c>
      <c r="F114" s="62"/>
      <c r="G114" s="5" t="str">
        <f>IF(OR(F114="No",F114="NA"),"The application does not collect any sensitive end user data.","")</f>
        <v/>
      </c>
      <c r="H114" s="62"/>
      <c r="I114" s="62"/>
      <c r="J114" s="5" t="str">
        <f>IF(F114="Yes","N",IF(NOT(ISBLANK(F114)),"Y","N"))</f>
        <v>N</v>
      </c>
      <c r="K114" s="5"/>
    </row>
    <row r="115" spans="1:11" ht="24">
      <c r="A115" s="40"/>
      <c r="B115" s="5"/>
      <c r="C115" s="40">
        <v>1.1000000000000001</v>
      </c>
      <c r="D115" s="46" t="s">
        <v>206</v>
      </c>
      <c r="E115" s="5" t="str">
        <f>IF(F114="Yes","Yes","No")</f>
        <v>No</v>
      </c>
      <c r="F115" s="62"/>
      <c r="G115" s="5" t="str">
        <f>IF(OR(F115="No",F115="NA"),"The application collects sensitive end user data , but does not store it.","")</f>
        <v/>
      </c>
      <c r="H115" s="62"/>
      <c r="I115" s="62"/>
      <c r="J115" s="5" t="str">
        <f>IF(F115="Yes","N",IF(NOT(ISBLANK(F115)),"Y","N"))</f>
        <v>N</v>
      </c>
      <c r="K115" s="5"/>
    </row>
    <row r="116" spans="1:11" ht="24">
      <c r="A116" s="40"/>
      <c r="B116" s="5"/>
      <c r="C116" s="40" t="s">
        <v>159</v>
      </c>
      <c r="D116" s="46" t="s">
        <v>207</v>
      </c>
      <c r="E116" s="5" t="str">
        <f>IF(AND(F114="Yes",F115="Yes"),"Yes","No")</f>
        <v>No</v>
      </c>
      <c r="F116" s="62"/>
      <c r="G116" s="5" t="str">
        <f>IF(F116="Yes","The application stores the end user data encrypted.",IF(OR(F116="No",F116="NA"),"Recommended to store the sensitive end user data encrypted.",""))</f>
        <v/>
      </c>
      <c r="H116" s="62"/>
      <c r="I116" s="62"/>
      <c r="J116" s="5" t="str">
        <f t="shared" ref="J116:J118" si="18">IF(F116="Yes","Y","N")</f>
        <v>N</v>
      </c>
      <c r="K116" s="5" t="str">
        <f t="shared" ref="K116:K131" si="19">IF(AND(OR(F116="No",F116="NA"),ISBLANK(H116)),"Please enter your comments","")</f>
        <v/>
      </c>
    </row>
    <row r="117" spans="1:11" ht="48">
      <c r="A117" s="40">
        <v>2</v>
      </c>
      <c r="B117" s="48" t="s">
        <v>208</v>
      </c>
      <c r="C117" s="40">
        <v>1</v>
      </c>
      <c r="D117" s="46" t="s">
        <v>209</v>
      </c>
      <c r="E117" s="5" t="str">
        <f>IF(AND(F114="Yes",F115="Yes"),"Yes","No")</f>
        <v>No</v>
      </c>
      <c r="F117" s="62"/>
      <c r="G117" s="5" t="str">
        <f>IF(F117="Yes","Explicit consent taken from the users for collection, retention, processing, storage &amp; sharing of data.",IF(OR(F117="No",F117="NA"),"Recommended to take explicit consent  from the users for collection, retention, processing, storage &amp; sharing of data.",""))</f>
        <v/>
      </c>
      <c r="H117" s="62"/>
      <c r="I117" s="62"/>
      <c r="J117" s="5" t="str">
        <f>IF(E117="No","Y",IF(F117="Yes","Y",J114))</f>
        <v>Y</v>
      </c>
      <c r="K117" s="5" t="str">
        <f t="shared" si="19"/>
        <v/>
      </c>
    </row>
    <row r="118" spans="1:11" ht="36">
      <c r="A118" s="40">
        <v>3</v>
      </c>
      <c r="B118" s="47" t="s">
        <v>210</v>
      </c>
      <c r="C118" s="40">
        <v>1</v>
      </c>
      <c r="D118" s="46" t="s">
        <v>211</v>
      </c>
      <c r="E118" s="5" t="s">
        <v>84</v>
      </c>
      <c r="F118" s="62"/>
      <c r="G118" s="5" t="str">
        <f>IF(F118="Yes","The application uses POST methods for requests containing data.",IF(OR(F118="No",F118="NA"),"Recommended to restrict GET and use POST method only for requests containing data.",""))</f>
        <v/>
      </c>
      <c r="H118" s="62"/>
      <c r="I118" s="62"/>
      <c r="J118" s="5" t="str">
        <f t="shared" si="18"/>
        <v>N</v>
      </c>
      <c r="K118" s="5" t="str">
        <f t="shared" si="19"/>
        <v/>
      </c>
    </row>
    <row r="119" spans="1:11" ht="48">
      <c r="A119" s="40">
        <v>4</v>
      </c>
      <c r="B119" s="47" t="s">
        <v>212</v>
      </c>
      <c r="C119" s="40">
        <v>1</v>
      </c>
      <c r="D119" s="46" t="s">
        <v>213</v>
      </c>
      <c r="E119" s="5" t="s">
        <v>84</v>
      </c>
      <c r="F119" s="62"/>
      <c r="G119" s="5" t="str">
        <f>IF(F119="Yes","The application ensures client side caching is disabled for sensitive information (including autocomplete feature in web application forms). ",IF(OR(F119="No",F119="NA"),"Recommended to disable client side caching for sensitive information.",""))</f>
        <v/>
      </c>
      <c r="H119" s="62"/>
      <c r="I119" s="62"/>
      <c r="J119" s="5" t="str">
        <f>IF(OR(F119="Yes",F119="NA"),"Y","N")</f>
        <v>N</v>
      </c>
      <c r="K119" s="5" t="str">
        <f t="shared" si="19"/>
        <v/>
      </c>
    </row>
    <row r="120" spans="1:11" ht="36">
      <c r="A120" s="40">
        <v>5</v>
      </c>
      <c r="B120" s="49" t="s">
        <v>214</v>
      </c>
      <c r="C120" s="40">
        <v>1</v>
      </c>
      <c r="D120" s="46" t="s">
        <v>215</v>
      </c>
      <c r="E120" s="5" t="s">
        <v>84</v>
      </c>
      <c r="F120" s="62"/>
      <c r="G120" s="5" t="str">
        <f>IF(F120="Yes","VA &amp; PT is done regularly for the systems, networks and applications.",IF(OR(F120="No",F120="NA"),"Recommended that VA &amp; PT is done regularly for the systems, networks and applications.",""))</f>
        <v/>
      </c>
      <c r="H120" s="62"/>
      <c r="I120" s="62"/>
      <c r="J120" s="5" t="str">
        <f t="shared" ref="J120:J122" si="20">IF(F120="Yes","Y","N")</f>
        <v>N</v>
      </c>
      <c r="K120" s="5" t="str">
        <f t="shared" si="19"/>
        <v/>
      </c>
    </row>
    <row r="121" spans="1:11" ht="72">
      <c r="A121" s="40">
        <v>6</v>
      </c>
      <c r="B121" s="47" t="s">
        <v>216</v>
      </c>
      <c r="C121" s="40">
        <v>1</v>
      </c>
      <c r="D121" s="46" t="s">
        <v>217</v>
      </c>
      <c r="E121" s="5" t="s">
        <v>84</v>
      </c>
      <c r="F121" s="62"/>
      <c r="G121" s="5" t="str">
        <f>IF(F121="Yes","The application securely exports data in reports, print records, receipts, invoices, etc.",IF(OR(F121="No",F121="NA"),"Recommended to implement necessary Data Security controls while exporting the data in events like generating reports, printing any page/records, generating any receipts or invoices etc",""))</f>
        <v/>
      </c>
      <c r="H121" s="62"/>
      <c r="I121" s="62"/>
      <c r="J121" s="5" t="str">
        <f t="shared" si="20"/>
        <v>N</v>
      </c>
      <c r="K121" s="5" t="str">
        <f t="shared" si="19"/>
        <v/>
      </c>
    </row>
    <row r="122" spans="1:11" ht="72">
      <c r="A122" s="40">
        <v>7</v>
      </c>
      <c r="B122" s="47" t="s">
        <v>218</v>
      </c>
      <c r="C122" s="40">
        <v>1</v>
      </c>
      <c r="D122" s="46" t="s">
        <v>219</v>
      </c>
      <c r="E122" s="5" t="s">
        <v>84</v>
      </c>
      <c r="F122" s="62"/>
      <c r="G122" s="5" t="str">
        <f>IF(F122="Yes","The application uses Strong masking or tokenisation mechanisms.",IF(OR(F122="No",F122="NA"),"Recommended to use strong masking/tokenisation techniques.",""))</f>
        <v/>
      </c>
      <c r="H122" s="62"/>
      <c r="I122" s="62"/>
      <c r="J122" s="5" t="str">
        <f t="shared" si="20"/>
        <v>N</v>
      </c>
      <c r="K122" s="5" t="str">
        <f t="shared" si="19"/>
        <v/>
      </c>
    </row>
    <row r="123" spans="1:11" ht="48">
      <c r="A123" s="40">
        <v>8</v>
      </c>
      <c r="B123" s="47" t="s">
        <v>220</v>
      </c>
      <c r="C123" s="40">
        <v>1</v>
      </c>
      <c r="D123" s="46" t="s">
        <v>221</v>
      </c>
      <c r="E123" s="5" t="s">
        <v>84</v>
      </c>
      <c r="F123" s="62"/>
      <c r="G123" s="5" t="str">
        <f>IF(F123="Yes","Access control lists are created  to ensure the right level of data access for creating, reading, altering or deleting.",IF(OR(F123="No",F123="NA"),"Recommended to create Access control lists to ensure the right level of data access for creating, reading, altering or deleting.",""))</f>
        <v/>
      </c>
      <c r="H123" s="62"/>
      <c r="I123" s="62"/>
      <c r="J123" s="5" t="str">
        <f t="shared" ref="J123:J155" si="21">IF(F123="Yes","Y","N")</f>
        <v>N</v>
      </c>
      <c r="K123" s="5" t="str">
        <f t="shared" si="19"/>
        <v/>
      </c>
    </row>
    <row r="124" spans="1:11" ht="36">
      <c r="A124" s="40">
        <v>9</v>
      </c>
      <c r="B124" s="47" t="s">
        <v>222</v>
      </c>
      <c r="C124" s="40">
        <v>1</v>
      </c>
      <c r="D124" s="46" t="s">
        <v>223</v>
      </c>
      <c r="E124" s="5" t="s">
        <v>84</v>
      </c>
      <c r="F124" s="62"/>
      <c r="G124" s="5" t="str">
        <f>IF(F124="Yes","OS specific mechanisms are used for key management.",IF(OR(F124="No",F124="NA"),"Recommended to use OS specific mechanisms (like DPAPI for windows and KeyChain for MAC) for key management.",""))</f>
        <v/>
      </c>
      <c r="H124" s="62"/>
      <c r="I124" s="62"/>
      <c r="J124" s="5" t="str">
        <f t="shared" si="21"/>
        <v>N</v>
      </c>
      <c r="K124" s="5" t="str">
        <f t="shared" si="19"/>
        <v/>
      </c>
    </row>
    <row r="125" spans="1:11" ht="14.45">
      <c r="A125" s="84" t="s">
        <v>224</v>
      </c>
      <c r="B125" s="85"/>
      <c r="C125" s="85"/>
      <c r="D125" s="85"/>
      <c r="E125" s="85"/>
      <c r="F125" s="85"/>
      <c r="G125" s="85"/>
      <c r="H125" s="85"/>
      <c r="I125" s="85"/>
      <c r="J125" s="85"/>
      <c r="K125" s="86"/>
    </row>
    <row r="126" spans="1:11" ht="24">
      <c r="A126" s="42">
        <v>1</v>
      </c>
      <c r="B126" s="41" t="s">
        <v>225</v>
      </c>
      <c r="C126" s="40">
        <v>1</v>
      </c>
      <c r="D126" s="5" t="s">
        <v>226</v>
      </c>
      <c r="E126" s="5" t="s">
        <v>84</v>
      </c>
      <c r="F126" s="62"/>
      <c r="G126" s="5" t="str">
        <f>IF(F126="Yes","The keys used are strong and stored in a secure location.",IF(OR(F126="No",F126="NA"),"Recommended to use strong keys and store them in a secure location.",""))</f>
        <v/>
      </c>
      <c r="H126" s="62"/>
      <c r="I126" s="62"/>
      <c r="J126" s="5" t="str">
        <f t="shared" si="21"/>
        <v>N</v>
      </c>
      <c r="K126" s="5" t="str">
        <f t="shared" si="19"/>
        <v/>
      </c>
    </row>
    <row r="127" spans="1:11" ht="24">
      <c r="A127" s="42">
        <v>2</v>
      </c>
      <c r="B127" s="41" t="s">
        <v>227</v>
      </c>
      <c r="C127" s="40">
        <v>1</v>
      </c>
      <c r="D127" s="5" t="s">
        <v>228</v>
      </c>
      <c r="E127" s="5" t="s">
        <v>84</v>
      </c>
      <c r="F127" s="62"/>
      <c r="G127" s="5" t="str">
        <f>IF(F127="Yes","The application uses fully qualified domain names for certificates.",IF(OR(F127="No",F127="NA"),"Recommended to use fully qualified domain names for certificates.",""))</f>
        <v/>
      </c>
      <c r="H127" s="62"/>
      <c r="I127" s="62"/>
      <c r="J127" s="5" t="str">
        <f t="shared" si="21"/>
        <v>N</v>
      </c>
      <c r="K127" s="5" t="str">
        <f t="shared" si="19"/>
        <v/>
      </c>
    </row>
    <row r="128" spans="1:11">
      <c r="A128" s="42">
        <v>3</v>
      </c>
      <c r="B128" s="41" t="s">
        <v>229</v>
      </c>
      <c r="C128" s="40">
        <v>1</v>
      </c>
      <c r="D128" s="5" t="s">
        <v>230</v>
      </c>
      <c r="E128" s="5" t="s">
        <v>84</v>
      </c>
      <c r="F128" s="62"/>
      <c r="G128" s="5" t="str">
        <f>IF(F128="No","The application does not use cookies","")</f>
        <v/>
      </c>
      <c r="H128" s="62"/>
      <c r="I128" s="62"/>
      <c r="J128" s="5" t="str">
        <f>IF(F128="No","Y","N")</f>
        <v>N</v>
      </c>
      <c r="K128" s="5" t="str">
        <f t="shared" si="19"/>
        <v/>
      </c>
    </row>
    <row r="129" spans="1:11" ht="24">
      <c r="A129" s="42"/>
      <c r="B129" s="41"/>
      <c r="C129" s="40">
        <v>1.1000000000000001</v>
      </c>
      <c r="D129" s="5" t="s">
        <v>231</v>
      </c>
      <c r="E129" s="5" t="str">
        <f>IF(F128="Yes","Yes","No")</f>
        <v>No</v>
      </c>
      <c r="F129" s="62"/>
      <c r="G129" s="5" t="str">
        <f>IF(F129="Yes","The application uses secure cookie flag.",IF(OR(F129="No",F129="NA"),"Recommended to use secure cookie flag.",""))</f>
        <v/>
      </c>
      <c r="H129" s="62"/>
      <c r="I129" s="62"/>
      <c r="J129" s="5" t="str">
        <f>IF(F129="Yes","Y","N")</f>
        <v>N</v>
      </c>
      <c r="K129" s="5" t="str">
        <f>IF(AND(OR(F129="No",F129="NA"),ISBLANK(H129)),"Please enter your comments","")</f>
        <v/>
      </c>
    </row>
    <row r="130" spans="1:11" ht="24">
      <c r="A130" s="42">
        <v>4</v>
      </c>
      <c r="B130" s="41" t="s">
        <v>232</v>
      </c>
      <c r="C130" s="40">
        <v>1</v>
      </c>
      <c r="D130" s="5" t="s">
        <v>233</v>
      </c>
      <c r="E130" s="5" t="s">
        <v>84</v>
      </c>
      <c r="F130" s="62"/>
      <c r="G130" s="5" t="str">
        <f>IF(F130="Yes","No sensitive data is included in the url.",IF(OR(F130="No",F130="NA"),"Recommended to keep Sensitive Data Out of the URL.",""))</f>
        <v/>
      </c>
      <c r="H130" s="62"/>
      <c r="I130" s="62"/>
      <c r="J130" s="5" t="str">
        <f t="shared" si="21"/>
        <v>N</v>
      </c>
      <c r="K130" s="5" t="str">
        <f t="shared" si="19"/>
        <v/>
      </c>
    </row>
    <row r="131" spans="1:11" ht="36">
      <c r="A131" s="42">
        <v>5</v>
      </c>
      <c r="B131" s="41" t="s">
        <v>234</v>
      </c>
      <c r="C131" s="40">
        <v>1</v>
      </c>
      <c r="D131" s="5" t="s">
        <v>235</v>
      </c>
      <c r="E131" s="5" t="s">
        <v>84</v>
      </c>
      <c r="F131" s="62"/>
      <c r="G131" s="5" t="str">
        <f>IF(F131="Yes","The application uses certificate supporting required domain names.",IF(OR(F131="No",F131="NA"),"Recommended to use certificate supporting required domain names.",""))</f>
        <v/>
      </c>
      <c r="H131" s="62"/>
      <c r="I131" s="62"/>
      <c r="J131" s="5" t="str">
        <f t="shared" si="21"/>
        <v>N</v>
      </c>
      <c r="K131" s="5" t="str">
        <f t="shared" si="19"/>
        <v/>
      </c>
    </row>
    <row r="132" spans="1:11" ht="24">
      <c r="A132" s="42">
        <v>6</v>
      </c>
      <c r="B132" s="41" t="s">
        <v>236</v>
      </c>
      <c r="C132" s="40">
        <v>1</v>
      </c>
      <c r="D132" s="5" t="s">
        <v>237</v>
      </c>
      <c r="E132" s="5" t="s">
        <v>84</v>
      </c>
      <c r="F132" s="62"/>
      <c r="G132" s="5" t="str">
        <f>IF(F132="Yes","Recommended not to use any wildcard certificates.",IF(OR(F132="No",F132="NA"),"The application does not use any wildcard certificates.",""))</f>
        <v/>
      </c>
      <c r="H132" s="62"/>
      <c r="I132" s="62"/>
      <c r="J132" s="5" t="str">
        <f>IF(F132="Yes","N",IF(NOT(ISBLANK(F132)),"Y","N"))</f>
        <v>N</v>
      </c>
      <c r="K132" s="5" t="str">
        <f>IF(AND(F132="Yes",ISBLANK(H132)),"Please enter your comments","")</f>
        <v/>
      </c>
    </row>
    <row r="133" spans="1:11" ht="24">
      <c r="A133" s="42">
        <v>7</v>
      </c>
      <c r="B133" s="41" t="s">
        <v>238</v>
      </c>
      <c r="C133" s="40">
        <v>1</v>
      </c>
      <c r="D133" s="5" t="s">
        <v>239</v>
      </c>
      <c r="E133" s="5" t="s">
        <v>84</v>
      </c>
      <c r="F133" s="62"/>
      <c r="G133" s="5" t="str">
        <f>IF(OR(F133="No",F133="NA"),"The application does not have any non TLS pages.","")</f>
        <v/>
      </c>
      <c r="H133" s="62"/>
      <c r="I133" s="62"/>
      <c r="J133" s="5" t="str">
        <f>IF(F133="No","Y","N")</f>
        <v>N</v>
      </c>
      <c r="K133" s="5" t="str">
        <f>IF(AND(F133="Yes",ISBLANK(H133)),"Please enter your comments","")</f>
        <v/>
      </c>
    </row>
    <row r="134" spans="1:11" ht="36">
      <c r="A134" s="42"/>
      <c r="B134" s="50"/>
      <c r="C134" s="40">
        <v>1.1000000000000001</v>
      </c>
      <c r="D134" s="5" t="s">
        <v>240</v>
      </c>
      <c r="E134" s="5" t="str">
        <f>IF(F133="Yes","Yes","No")</f>
        <v>No</v>
      </c>
      <c r="F134" s="62"/>
      <c r="G134" s="5" t="str">
        <f>IF(F134="Yes","The application does not provide any secure content for non-TLS pages.",IF(OR(F134="No",F134="NA"),"Recommended not to provide non-TLS pages any secured content.",""))</f>
        <v/>
      </c>
      <c r="H134" s="62"/>
      <c r="I134" s="62"/>
      <c r="J134" s="5" t="str">
        <f>IF(F134="Yes","Y","N")</f>
        <v>N</v>
      </c>
      <c r="K134" s="5" t="str">
        <f>IF(AND(OR(F134="No",F134="NA"),ISBLANK(H134)),"Please enter your comments","")</f>
        <v/>
      </c>
    </row>
    <row r="135" spans="1:11" ht="24">
      <c r="A135" s="42">
        <v>8</v>
      </c>
      <c r="B135" s="41" t="s">
        <v>241</v>
      </c>
      <c r="C135" s="40">
        <v>1</v>
      </c>
      <c r="D135" s="5" t="s">
        <v>242</v>
      </c>
      <c r="E135" s="5" t="s">
        <v>84</v>
      </c>
      <c r="F135" s="62"/>
      <c r="G135" s="5" t="str">
        <f>IF(F135="Yes","The application uses appropriate certification authority.",IF(OR(F135="No",F135="NA"),"Recommended to use  appropriate certification authority.",""))</f>
        <v/>
      </c>
      <c r="H135" s="62"/>
      <c r="I135" s="62"/>
      <c r="J135" s="5" t="str">
        <f t="shared" si="21"/>
        <v>N</v>
      </c>
      <c r="K135" s="5" t="str">
        <f t="shared" ref="K135:K155" si="22">IF(AND(OR(F135="No",F135="NA"),ISBLANK(H135)),"Please enter your comments","")</f>
        <v/>
      </c>
    </row>
    <row r="136" spans="1:11" ht="24">
      <c r="A136" s="42">
        <v>9</v>
      </c>
      <c r="B136" s="41" t="s">
        <v>243</v>
      </c>
      <c r="C136" s="40">
        <v>1</v>
      </c>
      <c r="D136" s="5" t="s">
        <v>244</v>
      </c>
      <c r="E136" s="5" t="s">
        <v>84</v>
      </c>
      <c r="F136" s="62"/>
      <c r="G136" s="5" t="str">
        <f>IF(F136="Yes","The application supports only strong protocols.",IF(OR(F136="No",F136="NA"),"Reccommended that the application supports only strong protocols.",""))</f>
        <v/>
      </c>
      <c r="H136" s="62"/>
      <c r="I136" s="62"/>
      <c r="J136" s="5" t="str">
        <f t="shared" si="21"/>
        <v>N</v>
      </c>
      <c r="K136" s="5" t="str">
        <f t="shared" si="22"/>
        <v/>
      </c>
    </row>
    <row r="137" spans="1:11" ht="36">
      <c r="A137" s="42">
        <v>10</v>
      </c>
      <c r="B137" s="41" t="s">
        <v>245</v>
      </c>
      <c r="C137" s="40">
        <v>1</v>
      </c>
      <c r="D137" s="5" t="s">
        <v>246</v>
      </c>
      <c r="E137" s="5" t="s">
        <v>84</v>
      </c>
      <c r="F137" s="62"/>
      <c r="G137" s="5" t="str">
        <f>IF(F137="Yes","The application uses HTTP Strict Transport Security &amp; Public Key Pinning.",IF(OR(F137="No",F137="NA"),"Recommended to use HTTP Strict Transport Security &amp; Public Key Pinning.",""))</f>
        <v/>
      </c>
      <c r="H137" s="62"/>
      <c r="I137" s="62"/>
      <c r="J137" s="5" t="str">
        <f t="shared" si="21"/>
        <v>N</v>
      </c>
      <c r="K137" s="5" t="str">
        <f t="shared" si="22"/>
        <v/>
      </c>
    </row>
    <row r="138" spans="1:11" ht="24">
      <c r="A138" s="42">
        <v>11</v>
      </c>
      <c r="B138" s="51" t="s">
        <v>247</v>
      </c>
      <c r="C138" s="40">
        <v>1</v>
      </c>
      <c r="D138" s="5" t="s">
        <v>248</v>
      </c>
      <c r="E138" s="5" t="str">
        <f>IF(F133="Yes","Yes","No")</f>
        <v>No</v>
      </c>
      <c r="F138" s="62"/>
      <c r="G138" s="5" t="str">
        <f>IF(F138="Yes","The application doesnot mix TLS and Non-TLS Content.",IF(OR(F138="No",F138="NA"),"Recommended not to mix TLS and Non-TLS Content.",""))</f>
        <v/>
      </c>
      <c r="H138" s="62"/>
      <c r="I138" s="62"/>
      <c r="J138" s="5" t="str">
        <f>IF(E138="No","Y",IF(F133="No","Y",IF(F138="Yes","Y","N")))</f>
        <v>Y</v>
      </c>
      <c r="K138" s="5" t="str">
        <f t="shared" si="22"/>
        <v/>
      </c>
    </row>
    <row r="139" spans="1:11" ht="14.45">
      <c r="A139" s="84" t="s">
        <v>249</v>
      </c>
      <c r="B139" s="85"/>
      <c r="C139" s="85"/>
      <c r="D139" s="85"/>
      <c r="E139" s="85"/>
      <c r="F139" s="85"/>
      <c r="G139" s="85"/>
      <c r="H139" s="85"/>
      <c r="I139" s="85"/>
      <c r="J139" s="85"/>
      <c r="K139" s="86"/>
    </row>
    <row r="140" spans="1:11" ht="24">
      <c r="A140" s="42">
        <v>1</v>
      </c>
      <c r="B140" s="48" t="s">
        <v>250</v>
      </c>
      <c r="C140" s="42">
        <v>1</v>
      </c>
      <c r="D140" s="5" t="s">
        <v>251</v>
      </c>
      <c r="E140" s="5" t="s">
        <v>84</v>
      </c>
      <c r="F140" s="62"/>
      <c r="G140" s="5" t="str">
        <f>IF(F140="Yes","Business Rules are identified seperately.",IF(OR(F140="No",F140="NA"),"Recommended to identify business rules seperately.",""))</f>
        <v/>
      </c>
      <c r="H140" s="62"/>
      <c r="I140" s="62"/>
      <c r="J140" s="5" t="str">
        <f t="shared" si="21"/>
        <v>N</v>
      </c>
      <c r="K140" s="5" t="str">
        <f t="shared" si="22"/>
        <v/>
      </c>
    </row>
    <row r="141" spans="1:11" ht="36">
      <c r="A141" s="42">
        <v>2</v>
      </c>
      <c r="B141" s="48" t="s">
        <v>252</v>
      </c>
      <c r="C141" s="42">
        <v>1</v>
      </c>
      <c r="D141" s="5" t="s">
        <v>253</v>
      </c>
      <c r="E141" s="5" t="s">
        <v>84</v>
      </c>
      <c r="F141" s="62"/>
      <c r="G141" s="5" t="str">
        <f>IF(F141="Yes","The test cases include negative/abuse cases derived from functional requirements.",IF(OR(F141="No",F141="NA"),"Test cases should include negative/abuse cases derived from functional requirements.",""))</f>
        <v/>
      </c>
      <c r="H141" s="62"/>
      <c r="I141" s="62"/>
      <c r="J141" s="5" t="str">
        <f t="shared" si="21"/>
        <v>N</v>
      </c>
      <c r="K141" s="5" t="str">
        <f t="shared" si="22"/>
        <v/>
      </c>
    </row>
    <row r="142" spans="1:11" ht="24">
      <c r="A142" s="42">
        <v>3</v>
      </c>
      <c r="B142" s="48" t="s">
        <v>254</v>
      </c>
      <c r="C142" s="42">
        <v>1</v>
      </c>
      <c r="D142" s="5" t="s">
        <v>255</v>
      </c>
      <c r="E142" s="5" t="s">
        <v>84</v>
      </c>
      <c r="F142" s="62"/>
      <c r="G142" s="5" t="str">
        <f>IF(F142="Yes","Application doesnot allow any backdoor entries.",IF(OR(F142="No",F142="NA"),"Ensure that the application is fully protected by authentication and authorization.",""))</f>
        <v/>
      </c>
      <c r="H142" s="62"/>
      <c r="I142" s="62"/>
      <c r="J142" s="5" t="str">
        <f t="shared" si="21"/>
        <v>N</v>
      </c>
      <c r="K142" s="5" t="str">
        <f t="shared" si="22"/>
        <v/>
      </c>
    </row>
    <row r="143" spans="1:11">
      <c r="A143" s="42">
        <v>4</v>
      </c>
      <c r="B143" s="48" t="s">
        <v>256</v>
      </c>
      <c r="C143" s="42">
        <v>1</v>
      </c>
      <c r="D143" s="5" t="s">
        <v>257</v>
      </c>
      <c r="E143" s="5" t="s">
        <v>84</v>
      </c>
      <c r="F143" s="62"/>
      <c r="G143" s="5" t="str">
        <f>IF(F143="Yes","The application undergoes proper sanity checks.",IF(OR(F143="No",F143="NA"),"Recommended to undergo sanity checks.",""))</f>
        <v/>
      </c>
      <c r="H143" s="62"/>
      <c r="I143" s="62"/>
      <c r="J143" s="5" t="str">
        <f t="shared" si="21"/>
        <v>N</v>
      </c>
      <c r="K143" s="5" t="str">
        <f t="shared" si="22"/>
        <v/>
      </c>
    </row>
    <row r="144" spans="1:11" ht="36">
      <c r="A144" s="42">
        <v>5</v>
      </c>
      <c r="B144" s="48" t="s">
        <v>258</v>
      </c>
      <c r="C144" s="40" t="s">
        <v>259</v>
      </c>
      <c r="D144" s="5" t="s">
        <v>260</v>
      </c>
      <c r="E144" s="5" t="s">
        <v>84</v>
      </c>
      <c r="F144" s="62"/>
      <c r="G144" s="5" t="str">
        <f>IF(F144="Yes","The application doesnot make any requests guessable.",IF(OR(F144="No",F144="NA"),"Recommended to avoid showing such details in the request.",""))</f>
        <v/>
      </c>
      <c r="H144" s="62"/>
      <c r="I144" s="62"/>
      <c r="J144" s="5" t="str">
        <f t="shared" si="21"/>
        <v>N</v>
      </c>
      <c r="K144" s="5" t="str">
        <f t="shared" si="22"/>
        <v/>
      </c>
    </row>
    <row r="145" spans="1:11" ht="24">
      <c r="A145" s="42">
        <v>6</v>
      </c>
      <c r="B145" s="48" t="s">
        <v>261</v>
      </c>
      <c r="C145" s="42">
        <v>1</v>
      </c>
      <c r="D145" s="5" t="s">
        <v>262</v>
      </c>
      <c r="E145" s="5" t="s">
        <v>84</v>
      </c>
      <c r="F145" s="62"/>
      <c r="G145" s="5" t="str">
        <f>IF(F145="Yes","The code is not complex.",IF(OR(F145="No",F145="NA"),"Recommended to reduce the code complexity.",""))</f>
        <v/>
      </c>
      <c r="H145" s="62"/>
      <c r="I145" s="62"/>
      <c r="J145" s="5" t="str">
        <f t="shared" si="21"/>
        <v>N</v>
      </c>
      <c r="K145" s="5" t="str">
        <f t="shared" si="22"/>
        <v/>
      </c>
    </row>
    <row r="146" spans="1:11" ht="36">
      <c r="A146" s="42">
        <v>7</v>
      </c>
      <c r="B146" s="48" t="s">
        <v>263</v>
      </c>
      <c r="C146" s="42">
        <v>1</v>
      </c>
      <c r="D146" s="5" t="s">
        <v>264</v>
      </c>
      <c r="E146" s="5" t="s">
        <v>84</v>
      </c>
      <c r="F146" s="62"/>
      <c r="G146" s="5" t="str">
        <f>IF(F146="Yes","The businesslogic is check for accuracy and completeness.",IF(OR(F146="No",F146="NA"),"Recommended to review the businesslogic for accuracy and completeness.",""))</f>
        <v/>
      </c>
      <c r="H146" s="62"/>
      <c r="I146" s="62"/>
      <c r="J146" s="5" t="str">
        <f t="shared" si="21"/>
        <v>N</v>
      </c>
      <c r="K146" s="5" t="str">
        <f t="shared" si="22"/>
        <v/>
      </c>
    </row>
    <row r="147" spans="1:11" ht="36">
      <c r="A147" s="42">
        <v>8</v>
      </c>
      <c r="B147" s="48" t="s">
        <v>265</v>
      </c>
      <c r="C147" s="42">
        <v>1</v>
      </c>
      <c r="D147" s="5" t="s">
        <v>266</v>
      </c>
      <c r="E147" s="5" t="s">
        <v>84</v>
      </c>
      <c r="F147" s="62"/>
      <c r="G147" s="5" t="str">
        <f>IF(F147="Yes","The assets/ inventories are tracked regularly.",IF(OR(F147="No",F147="NA"),"Recommended to audit assets or inventory on a regular basis.",""))</f>
        <v/>
      </c>
      <c r="H147" s="62"/>
      <c r="I147" s="62"/>
      <c r="J147" s="5" t="str">
        <f t="shared" si="21"/>
        <v>N</v>
      </c>
      <c r="K147" s="5" t="str">
        <f t="shared" si="22"/>
        <v/>
      </c>
    </row>
    <row r="148" spans="1:11" ht="48">
      <c r="A148" s="42">
        <v>9</v>
      </c>
      <c r="B148" s="48" t="s">
        <v>267</v>
      </c>
      <c r="C148" s="40">
        <v>1</v>
      </c>
      <c r="D148" s="5" t="s">
        <v>268</v>
      </c>
      <c r="E148" s="5" t="s">
        <v>84</v>
      </c>
      <c r="F148" s="62"/>
      <c r="G148" s="5" t="str">
        <f>IF(F148="Yes","Accountability of systems executing the logic are defined.",IF(OR(F148="No",F148="NA"),"Recommended to learly define accountability for systems executing the logic.",""))</f>
        <v/>
      </c>
      <c r="H148" s="62"/>
      <c r="I148" s="62"/>
      <c r="J148" s="5" t="str">
        <f t="shared" si="21"/>
        <v>N</v>
      </c>
      <c r="K148" s="5" t="str">
        <f t="shared" si="22"/>
        <v/>
      </c>
    </row>
    <row r="149" spans="1:11" ht="36">
      <c r="A149" s="42">
        <v>10</v>
      </c>
      <c r="B149" s="48" t="s">
        <v>269</v>
      </c>
      <c r="C149" s="40">
        <v>1</v>
      </c>
      <c r="D149" s="5" t="s">
        <v>270</v>
      </c>
      <c r="E149" s="5" t="s">
        <v>84</v>
      </c>
      <c r="F149" s="62"/>
      <c r="G149" s="5" t="str">
        <f>IF(F149="Yes","Application ensures safe UUID, Random Numbers Generation.",IF(OR(F149="No",F149="NA"),"Recommended to ensure safe UUID, Random Numbers Generation.",""))</f>
        <v/>
      </c>
      <c r="H149" s="62"/>
      <c r="I149" s="62"/>
      <c r="J149" s="5" t="str">
        <f t="shared" si="21"/>
        <v>N</v>
      </c>
      <c r="K149" s="5" t="str">
        <f t="shared" si="22"/>
        <v/>
      </c>
    </row>
    <row r="150" spans="1:11" ht="48">
      <c r="A150" s="42">
        <v>11</v>
      </c>
      <c r="B150" s="48" t="s">
        <v>271</v>
      </c>
      <c r="C150" s="40">
        <v>1</v>
      </c>
      <c r="D150" s="5" t="s">
        <v>272</v>
      </c>
      <c r="E150" s="5" t="str">
        <f>IF(F4="Yes","No",IF(F151="Yes","No","Yes"))</f>
        <v>Yes</v>
      </c>
      <c r="F150" s="62"/>
      <c r="G150" s="5" t="str">
        <f>IF(F150="Yes","The application takes preventive measures to avoid Brute Forcing or guessing attempts.",IF(OR(F150="No",F150="NA"),"Recommended to take preventive measures to avoid Brute Forcing or guessing attempts.",""))</f>
        <v/>
      </c>
      <c r="H150" s="62"/>
      <c r="I150" s="62"/>
      <c r="J150" s="5" t="str">
        <f>IF(F4="Yes","Y",IF(F150="Yes","Y","N"))</f>
        <v>N</v>
      </c>
      <c r="K150" s="5" t="str">
        <f t="shared" si="22"/>
        <v/>
      </c>
    </row>
    <row r="151" spans="1:11">
      <c r="A151" s="42"/>
      <c r="B151" s="5"/>
      <c r="C151" s="40">
        <v>2</v>
      </c>
      <c r="D151" s="5" t="s">
        <v>45</v>
      </c>
      <c r="E151" s="5" t="str">
        <f>IF(F150="Yes","No","Yes")</f>
        <v>Yes</v>
      </c>
      <c r="F151" s="62"/>
      <c r="G151" s="5"/>
      <c r="H151" s="62"/>
      <c r="I151" s="62"/>
      <c r="J151" s="5"/>
      <c r="K151" s="5" t="str">
        <f>IF(AND(F151="Yes",ISBLANK(H151)),"Please enter your comments","")</f>
        <v/>
      </c>
    </row>
    <row r="152" spans="1:11" ht="60">
      <c r="A152" s="42">
        <v>12</v>
      </c>
      <c r="B152" s="48" t="s">
        <v>273</v>
      </c>
      <c r="C152" s="40">
        <v>1</v>
      </c>
      <c r="D152" s="5" t="s">
        <v>274</v>
      </c>
      <c r="E152" s="5" t="s">
        <v>84</v>
      </c>
      <c r="F152" s="62"/>
      <c r="G152" s="5" t="str">
        <f>IF(F152="Yes","The application follows defense in depth mechanism.",IF(OR(F152="No",F152="NA"),"Recommended to follow defense in depth mechanism.",""))</f>
        <v/>
      </c>
      <c r="H152" s="62"/>
      <c r="I152" s="62"/>
      <c r="J152" s="5" t="str">
        <f t="shared" si="21"/>
        <v>N</v>
      </c>
      <c r="K152" s="5" t="str">
        <f t="shared" si="22"/>
        <v/>
      </c>
    </row>
    <row r="153" spans="1:11" ht="24">
      <c r="A153" s="42">
        <v>13</v>
      </c>
      <c r="B153" s="48" t="s">
        <v>275</v>
      </c>
      <c r="C153" s="40">
        <v>1</v>
      </c>
      <c r="D153" s="5" t="s">
        <v>276</v>
      </c>
      <c r="E153" s="5" t="str">
        <f>IF(F34="Yes","Yes","No")</f>
        <v>No</v>
      </c>
      <c r="F153" s="62"/>
      <c r="G153" s="5" t="str">
        <f>IF(F153="Yes","User acknowledgements are insisted.",IF(OR(F153="No",F153="NA"),"Recommended to insist acknowledgements.",""))</f>
        <v/>
      </c>
      <c r="H153" s="62"/>
      <c r="I153" s="62"/>
      <c r="J153" s="5" t="str">
        <f>IF(E153="No","Y",IF(OR(OR(F34="No",F34="NA"),F153="Yes"),"Y","N"))</f>
        <v>Y</v>
      </c>
      <c r="K153" s="5" t="str">
        <f t="shared" si="22"/>
        <v/>
      </c>
    </row>
    <row r="154" spans="1:11" ht="24">
      <c r="A154" s="42">
        <v>14</v>
      </c>
      <c r="B154" s="48" t="s">
        <v>277</v>
      </c>
      <c r="C154" s="40">
        <v>1</v>
      </c>
      <c r="D154" s="5" t="s">
        <v>278</v>
      </c>
      <c r="E154" s="5" t="s">
        <v>84</v>
      </c>
      <c r="F154" s="62"/>
      <c r="G154" s="5" t="str">
        <f>IF(F154="Yes","Changes in logic are approved at all levels.",IF(OR(F154="No",F154="NA"),"Recommended that the changes in logic are approved at all levels.",""))</f>
        <v/>
      </c>
      <c r="H154" s="62"/>
      <c r="I154" s="62"/>
      <c r="J154" s="5" t="str">
        <f t="shared" si="21"/>
        <v>N</v>
      </c>
      <c r="K154" s="5" t="str">
        <f t="shared" si="22"/>
        <v/>
      </c>
    </row>
    <row r="155" spans="1:11" ht="24">
      <c r="A155" s="42">
        <v>15</v>
      </c>
      <c r="B155" s="48" t="s">
        <v>279</v>
      </c>
      <c r="C155" s="40">
        <v>1</v>
      </c>
      <c r="D155" s="5" t="s">
        <v>280</v>
      </c>
      <c r="E155" s="5" t="s">
        <v>84</v>
      </c>
      <c r="F155" s="62"/>
      <c r="G155" s="5" t="str">
        <f>IF(F155="Yes","Usage of resources is limited by priority.",IF(OR(F155="No",F155="NA"),"Recommended to limit the use of resources by priority.",""))</f>
        <v/>
      </c>
      <c r="H155" s="62"/>
      <c r="I155" s="62"/>
      <c r="J155" s="5" t="str">
        <f t="shared" si="21"/>
        <v>N</v>
      </c>
      <c r="K155" s="5" t="str">
        <f t="shared" si="22"/>
        <v/>
      </c>
    </row>
    <row r="156" spans="1:11" ht="14.45">
      <c r="A156" s="84" t="s">
        <v>281</v>
      </c>
      <c r="B156" s="85"/>
      <c r="C156" s="85"/>
      <c r="D156" s="85"/>
      <c r="E156" s="85"/>
      <c r="F156" s="85"/>
      <c r="G156" s="85"/>
      <c r="H156" s="85"/>
      <c r="I156" s="85"/>
      <c r="J156" s="85"/>
      <c r="K156" s="86"/>
    </row>
    <row r="157" spans="1:11" ht="72">
      <c r="A157" s="42">
        <v>1</v>
      </c>
      <c r="B157" s="48" t="s">
        <v>282</v>
      </c>
      <c r="C157" s="40">
        <v>1</v>
      </c>
      <c r="D157" s="44" t="s">
        <v>283</v>
      </c>
      <c r="E157" s="5" t="s">
        <v>84</v>
      </c>
      <c r="F157" s="62"/>
      <c r="G157" s="5" t="str">
        <f>IF(F157="Yes","",IF(OR(F157="No",F157="NA"),"No encryption is involved since the application does not store system secrets like DB password or FTP credentials or any such system secrets or any sensitive data",""))</f>
        <v/>
      </c>
      <c r="H157" s="62"/>
      <c r="I157" s="62"/>
      <c r="J157" s="5" t="str">
        <f>IF(F157="Yes",J158,IF(NOT(ISBLANK(F157)),"Y","N"))</f>
        <v>N</v>
      </c>
      <c r="K157" s="5"/>
    </row>
    <row r="158" spans="1:11" ht="36">
      <c r="A158" s="5"/>
      <c r="B158" s="5"/>
      <c r="C158" s="40">
        <v>1.1000000000000001</v>
      </c>
      <c r="D158" s="44" t="s">
        <v>284</v>
      </c>
      <c r="E158" s="5" t="str">
        <f>IF(AND(F157="Yes",F159&lt;&gt;"Yes"),"Yes","No")</f>
        <v>No</v>
      </c>
      <c r="F158" s="62"/>
      <c r="G158" s="5" t="str">
        <f>IF(F158="Yes","The application uses encryption algorithms like AES256 with GCM encryption mode.",IF(OR(F158="No",F158="NA"),"Recommended to use encryption algorithms like AES256 with GCM encryption mode.",""))</f>
        <v/>
      </c>
      <c r="H158" s="62"/>
      <c r="I158" s="62"/>
      <c r="J158" s="5" t="str">
        <f t="shared" ref="J158" si="23">IF(F158="Yes","Y","N")</f>
        <v>N</v>
      </c>
      <c r="K158" s="5"/>
    </row>
    <row r="159" spans="1:11">
      <c r="A159" s="5"/>
      <c r="B159" s="5"/>
      <c r="C159" s="40">
        <v>1.2</v>
      </c>
      <c r="D159" s="5" t="s">
        <v>45</v>
      </c>
      <c r="E159" s="5" t="str">
        <f>IF(AND(F157="Yes",F158&lt;&gt;"Yes"),"Yes","No")</f>
        <v>No</v>
      </c>
      <c r="F159" s="62"/>
      <c r="G159" s="5"/>
      <c r="H159" s="62"/>
      <c r="I159" s="62"/>
      <c r="J159" s="5"/>
      <c r="K159" s="5" t="str">
        <f>IF(AND(F159="Yes",ISBLANK(H159)),"Please enter your comments","")</f>
        <v/>
      </c>
    </row>
    <row r="160" spans="1:11" ht="24">
      <c r="A160" s="42">
        <v>2</v>
      </c>
      <c r="B160" s="48" t="s">
        <v>285</v>
      </c>
      <c r="C160" s="42">
        <v>1</v>
      </c>
      <c r="D160" s="5" t="s">
        <v>286</v>
      </c>
      <c r="E160" s="5" t="str">
        <f>IF(OR(F157="Yes",ISBLANK(F157)),"Yes","No")</f>
        <v>Yes</v>
      </c>
      <c r="F160" s="62"/>
      <c r="G160" s="5" t="str">
        <f>IF(F160="Yes","The keys are stored securely",IF(OR(F160="No",F160="NA"),"Recommended to store the keys in a key vault or a key store.",""))</f>
        <v/>
      </c>
      <c r="H160" s="62"/>
      <c r="I160" s="62"/>
      <c r="J160" s="5" t="str">
        <f>IF(E160="No","Y",IF(F160="Yes","Y","N"))</f>
        <v>N</v>
      </c>
      <c r="K160" s="5" t="str">
        <f t="shared" ref="K160" si="24">IF(AND(OR(F160="No",F160="NA"),ISBLANK(H160)),"Please enter your comments","")</f>
        <v/>
      </c>
    </row>
    <row r="161" spans="1:11" ht="24">
      <c r="A161" s="42">
        <v>3</v>
      </c>
      <c r="B161" s="48" t="s">
        <v>287</v>
      </c>
      <c r="C161" s="40">
        <v>1</v>
      </c>
      <c r="D161" s="44" t="s">
        <v>288</v>
      </c>
      <c r="E161" s="5" t="str">
        <f>IF(OR(F157="Yes",ISBLANK(F157)),"Yes","No")</f>
        <v>Yes</v>
      </c>
      <c r="F161" s="62"/>
      <c r="G161" s="5" t="str">
        <f>IF(OR(F161="No",F161="NA"),"The application does not have any child application, so there is no need for having different keys for different applications.","")</f>
        <v/>
      </c>
      <c r="H161" s="62"/>
      <c r="I161" s="62"/>
      <c r="J161" s="5" t="str">
        <f>IF(E161="No","Y",IF(F161="Yes",J162,IF(NOT(ISBLANK(F161)),"Y","N")))</f>
        <v>N</v>
      </c>
      <c r="K161" s="5"/>
    </row>
    <row r="162" spans="1:11" ht="24">
      <c r="A162" s="5"/>
      <c r="B162" s="5"/>
      <c r="C162" s="40">
        <v>1.1000000000000001</v>
      </c>
      <c r="D162" s="44" t="s">
        <v>289</v>
      </c>
      <c r="E162" s="5" t="str">
        <f>IF(F161="Yes","Yes","No")</f>
        <v>No</v>
      </c>
      <c r="F162" s="62"/>
      <c r="G162" s="5" t="str">
        <f>IF(OR(F162="No",F162="NA"),"The application has a child application which does not store any sensitive data, so not mandatory to have different keys.","")</f>
        <v/>
      </c>
      <c r="H162" s="62"/>
      <c r="I162" s="62"/>
      <c r="J162" s="5" t="str">
        <f>IF(F162="Yes",J163,IF(NOT(ISBLANK(F162)),"Y","N"))</f>
        <v>N</v>
      </c>
      <c r="K162" s="5"/>
    </row>
    <row r="163" spans="1:11" ht="24">
      <c r="A163" s="5"/>
      <c r="B163" s="5"/>
      <c r="C163" s="40" t="s">
        <v>159</v>
      </c>
      <c r="D163" s="44" t="s">
        <v>290</v>
      </c>
      <c r="E163" s="5" t="str">
        <f>IF(AND(F161="Yes",F162="Yes"),"Yes","No")</f>
        <v>No</v>
      </c>
      <c r="F163" s="62"/>
      <c r="G163" s="5" t="str">
        <f>IF(F163="Yes","The application has a child application which stores sensitive data and uses different keys.",IF(OR(F163="No",F163="NA"),"The application has a child application which stores sensitive data and thus recommended to use different keys.",""))</f>
        <v/>
      </c>
      <c r="H163" s="62"/>
      <c r="I163" s="62"/>
      <c r="J163" s="5" t="str">
        <f t="shared" ref="J163" si="25">IF(F163="Yes","Y","N")</f>
        <v>N</v>
      </c>
      <c r="K163" s="5" t="str">
        <f t="shared" ref="K163:K166" si="26">IF(AND(OR(F163="No",F163="NA"),ISBLANK(H163)),"Please enter your comments","")</f>
        <v/>
      </c>
    </row>
    <row r="164" spans="1:11" ht="36">
      <c r="A164" s="42">
        <v>4</v>
      </c>
      <c r="B164" s="48" t="s">
        <v>291</v>
      </c>
      <c r="C164" s="40">
        <v>1</v>
      </c>
      <c r="D164" s="5" t="s">
        <v>292</v>
      </c>
      <c r="E164" s="5" t="str">
        <f>IF(AND(F157="Yes",F165&lt;&gt;"Yes"),"Yes","No")</f>
        <v>No</v>
      </c>
      <c r="F164" s="62"/>
      <c r="G164" s="5" t="str">
        <f>IF(F164="Yes","The key are rotated every 30-90 days.",IF(OR(F164="No",F164="NA"),"Recommended to implement key rotation preferable every 30-90 days.",""))</f>
        <v/>
      </c>
      <c r="H164" s="62"/>
      <c r="I164" s="62"/>
      <c r="J164" s="5" t="str">
        <f>IF(E164="No","Y",IF(F164="Yes","Y","N"))</f>
        <v>Y</v>
      </c>
      <c r="K164" s="5" t="str">
        <f t="shared" si="26"/>
        <v/>
      </c>
    </row>
    <row r="165" spans="1:11">
      <c r="A165" s="5"/>
      <c r="B165" s="5"/>
      <c r="C165" s="40">
        <v>2</v>
      </c>
      <c r="D165" s="5" t="s">
        <v>45</v>
      </c>
      <c r="E165" s="5" t="str">
        <f>IF(AND(F157="Yes",F164&lt;&gt;"Yes"),"Yes","No")</f>
        <v>No</v>
      </c>
      <c r="F165" s="62"/>
      <c r="G165" s="5"/>
      <c r="H165" s="62"/>
      <c r="I165" s="62"/>
      <c r="J165" s="5"/>
      <c r="K165" s="5" t="str">
        <f>IF(AND(F165="Yes",ISBLANK(H165)),"Please enter your comments","")</f>
        <v/>
      </c>
    </row>
    <row r="166" spans="1:11" ht="84">
      <c r="A166" s="42">
        <v>5</v>
      </c>
      <c r="B166" s="48" t="s">
        <v>293</v>
      </c>
      <c r="C166" s="40">
        <v>1</v>
      </c>
      <c r="D166" s="5" t="s">
        <v>294</v>
      </c>
      <c r="E166" s="5" t="str">
        <f>IF(AND(F157="Yes",F167&lt;&gt;"Yes"),"Yes","No")</f>
        <v>No</v>
      </c>
      <c r="F166" s="62"/>
      <c r="G166" s="5" t="str">
        <f>IF(F166="Yes","The application uses standard key management solution like key vault or key store.",IF(OR(F166="No",F166="NA"),"Recommended that the application uses standard key management solution like key vault or key store.",""))</f>
        <v/>
      </c>
      <c r="H166" s="62"/>
      <c r="I166" s="62"/>
      <c r="J166" s="5" t="str">
        <f>IF(E166="No","Y",IF(F166="Yes","Y","N"))</f>
        <v>Y</v>
      </c>
      <c r="K166" s="5" t="str">
        <f t="shared" si="26"/>
        <v/>
      </c>
    </row>
    <row r="167" spans="1:11">
      <c r="A167" s="5"/>
      <c r="B167" s="5"/>
      <c r="C167" s="40">
        <v>2</v>
      </c>
      <c r="D167" s="5" t="s">
        <v>45</v>
      </c>
      <c r="E167" s="5" t="str">
        <f>IF(AND(F157="Yes",F166&lt;&gt;"Yes"),"Yes","No")</f>
        <v>No</v>
      </c>
      <c r="F167" s="62"/>
      <c r="G167" s="5"/>
      <c r="H167" s="62"/>
      <c r="I167" s="62"/>
      <c r="J167" s="5"/>
      <c r="K167" s="5" t="str">
        <f>IF(AND(F167="Yes",ISBLANK(H167)),"Please enter your comments","")</f>
        <v/>
      </c>
    </row>
    <row r="168" spans="1:11" ht="14.45">
      <c r="A168" s="84" t="s">
        <v>295</v>
      </c>
      <c r="B168" s="85"/>
      <c r="C168" s="85"/>
      <c r="D168" s="85"/>
      <c r="E168" s="85"/>
      <c r="F168" s="85"/>
      <c r="G168" s="85"/>
      <c r="H168" s="85"/>
      <c r="I168" s="85"/>
      <c r="J168" s="85"/>
      <c r="K168" s="86"/>
    </row>
    <row r="169" spans="1:11" ht="36">
      <c r="A169" s="42">
        <v>1</v>
      </c>
      <c r="B169" s="41" t="s">
        <v>296</v>
      </c>
      <c r="C169" s="42">
        <v>1</v>
      </c>
      <c r="D169" s="5" t="s">
        <v>297</v>
      </c>
      <c r="E169" s="5" t="s">
        <v>84</v>
      </c>
      <c r="F169" s="62"/>
      <c r="G169" s="5" t="str">
        <f>IF(F169="Yes","Most restrictive permissions are set for software during installations.",IF(OR(F169="No",F169="NA"),"Recommended to set most restrictive permissions for software during installations.",""))</f>
        <v/>
      </c>
      <c r="H169" s="62"/>
      <c r="I169" s="62"/>
      <c r="J169" s="5" t="str">
        <f>IF(F169="Yes","Y","N")</f>
        <v>N</v>
      </c>
      <c r="K169" s="5" t="str">
        <f t="shared" ref="K169:K196" si="27">IF(AND(OR(F169="No",F169="NA"),ISBLANK(H169)),"Please enter your comments","")</f>
        <v/>
      </c>
    </row>
    <row r="170" spans="1:11" ht="60">
      <c r="A170" s="42">
        <v>2</v>
      </c>
      <c r="B170" s="41" t="s">
        <v>298</v>
      </c>
      <c r="C170" s="42">
        <v>1</v>
      </c>
      <c r="D170" s="44" t="s">
        <v>299</v>
      </c>
      <c r="E170" s="5" t="s">
        <v>84</v>
      </c>
      <c r="F170" s="62"/>
      <c r="G170" s="5" t="str">
        <f>IF(F170="Yes","The application determines minimum privilege level required for execution of each software component and operation.",IF(OR(F170="No",F170="NA"),"Recommended to determine minimum privilege level required for execution of each software component and operation",""))</f>
        <v/>
      </c>
      <c r="H170" s="62"/>
      <c r="I170" s="62"/>
      <c r="J170" s="5" t="str">
        <f t="shared" ref="J170:J175" si="28">IF(F170="Yes","Y","N")</f>
        <v>N</v>
      </c>
      <c r="K170" s="5" t="str">
        <f t="shared" si="27"/>
        <v/>
      </c>
    </row>
    <row r="171" spans="1:11" ht="36">
      <c r="A171" s="42">
        <v>3</v>
      </c>
      <c r="B171" s="41" t="s">
        <v>300</v>
      </c>
      <c r="C171" s="42">
        <v>1</v>
      </c>
      <c r="D171" s="5" t="s">
        <v>301</v>
      </c>
      <c r="E171" s="5" t="s">
        <v>84</v>
      </c>
      <c r="F171" s="62"/>
      <c r="G171" s="5" t="str">
        <f>IF(F171="Yes","The application runs as a non-root user.",IF(OR(F171="No",F171="NA"),"Recommended to run the application as a non-root user.",""))</f>
        <v/>
      </c>
      <c r="H171" s="62"/>
      <c r="I171" s="62"/>
      <c r="J171" s="5" t="str">
        <f t="shared" si="28"/>
        <v>N</v>
      </c>
      <c r="K171" s="5" t="str">
        <f t="shared" si="27"/>
        <v/>
      </c>
    </row>
    <row r="172" spans="1:11" ht="36">
      <c r="A172" s="42">
        <v>4</v>
      </c>
      <c r="B172" s="41" t="s">
        <v>302</v>
      </c>
      <c r="C172" s="42">
        <v>1</v>
      </c>
      <c r="D172" s="5" t="s">
        <v>303</v>
      </c>
      <c r="E172" s="5" t="s">
        <v>84</v>
      </c>
      <c r="F172" s="62"/>
      <c r="G172" s="5" t="str">
        <f>IF(F172="Yes","The application follows a policy that specifies how super user accounts will be managed.",IF(OR(F172="No",F172="NA"),"Recommended that the applicationshould follow a policy that specifies how super user accounts will be managed.",""))</f>
        <v/>
      </c>
      <c r="H172" s="62"/>
      <c r="I172" s="62"/>
      <c r="J172" s="5" t="str">
        <f>IF(OR(F172="Yes",F172="NA"),"Y","N")</f>
        <v>N</v>
      </c>
      <c r="K172" s="5" t="str">
        <f t="shared" si="27"/>
        <v/>
      </c>
    </row>
    <row r="173" spans="1:11" ht="24">
      <c r="A173" s="42">
        <v>5</v>
      </c>
      <c r="B173" s="41" t="s">
        <v>304</v>
      </c>
      <c r="C173" s="42">
        <v>1</v>
      </c>
      <c r="D173" s="5" t="s">
        <v>305</v>
      </c>
      <c r="E173" s="5" t="s">
        <v>84</v>
      </c>
      <c r="F173" s="62"/>
      <c r="G173" s="5" t="str">
        <f>IF(F173="Yes","The application is deployed in a trusted zone.",IF(OR(F173="No",F173="NA"),"Recommended to deploy the application in a trusted zone.",""))</f>
        <v/>
      </c>
      <c r="H173" s="62"/>
      <c r="I173" s="62"/>
      <c r="J173" s="5" t="str">
        <f t="shared" si="28"/>
        <v>N</v>
      </c>
      <c r="K173" s="5" t="str">
        <f t="shared" si="27"/>
        <v/>
      </c>
    </row>
    <row r="174" spans="1:11" ht="48">
      <c r="A174" s="42">
        <v>6</v>
      </c>
      <c r="B174" s="41" t="s">
        <v>306</v>
      </c>
      <c r="C174" s="42">
        <v>1</v>
      </c>
      <c r="D174" s="5" t="s">
        <v>307</v>
      </c>
      <c r="E174" s="5" t="s">
        <v>84</v>
      </c>
      <c r="F174" s="62"/>
      <c r="G174" s="5" t="str">
        <f>IF(F174="Yes","read/write/execute permissions are identified for different resources.",IF(OR(F174="No",F174="NA"),"Recommended to identify different permissions for each resource such as read/write/execute.",""))</f>
        <v/>
      </c>
      <c r="H174" s="62"/>
      <c r="I174" s="62"/>
      <c r="J174" s="5" t="str">
        <f t="shared" si="28"/>
        <v>N</v>
      </c>
      <c r="K174" s="5" t="str">
        <f t="shared" si="27"/>
        <v/>
      </c>
    </row>
    <row r="175" spans="1:11" ht="24">
      <c r="A175" s="42">
        <v>7</v>
      </c>
      <c r="B175" s="41" t="s">
        <v>308</v>
      </c>
      <c r="C175" s="42">
        <v>1</v>
      </c>
      <c r="D175" s="5" t="s">
        <v>309</v>
      </c>
      <c r="E175" s="5" t="s">
        <v>84</v>
      </c>
      <c r="F175" s="62"/>
      <c r="G175" s="5" t="str">
        <f>IF(F175="Yes","All the privilege management events are logged.",IF(OR(F175="No",F175="NA"),"Recommended to log all privilege management events.",""))</f>
        <v/>
      </c>
      <c r="H175" s="62"/>
      <c r="I175" s="62"/>
      <c r="J175" s="5" t="str">
        <f t="shared" si="28"/>
        <v>N</v>
      </c>
      <c r="K175" s="5" t="str">
        <f t="shared" si="27"/>
        <v/>
      </c>
    </row>
    <row r="176" spans="1:11" ht="72">
      <c r="A176" s="42">
        <v>8</v>
      </c>
      <c r="B176" s="41" t="s">
        <v>310</v>
      </c>
      <c r="C176" s="42">
        <v>1</v>
      </c>
      <c r="D176" s="46" t="s">
        <v>311</v>
      </c>
      <c r="E176" s="5" t="s">
        <v>84</v>
      </c>
      <c r="F176" s="62"/>
      <c r="G176" s="5" t="str">
        <f>IF(OR(F176="No",F176="NA"),"The application doesnot involve any operation with elevated privileges.","")</f>
        <v/>
      </c>
      <c r="H176" s="62"/>
      <c r="I176" s="62"/>
      <c r="J176" s="5" t="str">
        <f>IF(F176="Yes",J177,IF(NOT(ISBLANK(F176)),"Y","N"))</f>
        <v>N</v>
      </c>
      <c r="K176" s="5" t="str">
        <f t="shared" si="27"/>
        <v/>
      </c>
    </row>
    <row r="177" spans="1:11" ht="36">
      <c r="A177" s="42"/>
      <c r="B177" s="52"/>
      <c r="C177" s="42">
        <v>1.1000000000000001</v>
      </c>
      <c r="D177" s="5" t="s">
        <v>312</v>
      </c>
      <c r="E177" s="5" t="str">
        <f>IF(F176="Yes","Yes","No")</f>
        <v>No</v>
      </c>
      <c r="F177" s="62"/>
      <c r="G177" s="5" t="str">
        <f>IF(F177="Yes","During operation with elevated privilege, privileges are raised as late as possible and immediately droped once operation is done.",IF(OR(F177="No",F177="NA"),"Recommended to raise privileges as late as possible and immediately drop once operation is done during operation with elevated privilege.",""))</f>
        <v/>
      </c>
      <c r="H177" s="62"/>
      <c r="I177" s="62"/>
      <c r="J177" s="5" t="str">
        <f>IF(F177="Yes","Y","N")</f>
        <v>N</v>
      </c>
      <c r="K177" s="5" t="str">
        <f t="shared" si="27"/>
        <v/>
      </c>
    </row>
    <row r="178" spans="1:11" ht="24">
      <c r="A178" s="42">
        <v>9</v>
      </c>
      <c r="B178" s="41" t="s">
        <v>313</v>
      </c>
      <c r="C178" s="42">
        <v>1</v>
      </c>
      <c r="D178" s="5" t="s">
        <v>314</v>
      </c>
      <c r="E178" s="5" t="s">
        <v>84</v>
      </c>
      <c r="F178" s="62"/>
      <c r="G178" s="5" t="str">
        <f>IF(F178="Yes","Inventory privileged accounts is done periodically",IF(OR(F178="No",F178="NA"),"Recommended to revise privileged accounts periodically.",""))</f>
        <v/>
      </c>
      <c r="H178" s="62"/>
      <c r="I178" s="62"/>
      <c r="J178" s="5" t="str">
        <f>IF(OR(F178="Yes",F178="NA"),"Y","N")</f>
        <v>N</v>
      </c>
      <c r="K178" s="5" t="str">
        <f t="shared" si="27"/>
        <v/>
      </c>
    </row>
    <row r="179" spans="1:11" ht="14.45">
      <c r="A179" s="83" t="s">
        <v>315</v>
      </c>
      <c r="B179" s="83"/>
      <c r="C179" s="83"/>
      <c r="D179" s="83"/>
      <c r="E179" s="83"/>
      <c r="F179" s="83"/>
      <c r="G179" s="83"/>
      <c r="H179" s="83"/>
      <c r="I179" s="83"/>
      <c r="J179" s="83"/>
      <c r="K179" s="62"/>
    </row>
    <row r="180" spans="1:11" ht="48">
      <c r="A180" s="40">
        <v>1</v>
      </c>
      <c r="B180" s="48" t="s">
        <v>316</v>
      </c>
      <c r="C180" s="40">
        <v>1</v>
      </c>
      <c r="D180" s="5" t="s">
        <v>317</v>
      </c>
      <c r="E180" s="5" t="s">
        <v>84</v>
      </c>
      <c r="F180" s="62"/>
      <c r="G180" s="5" t="str">
        <f>IF(F180="Yes","All the variables are initialised with accepted default values during declartion.",IF(OR(F180="No",F180="NA"),"Recommended to intialise all the variables with accepted default values during declaration.",""))</f>
        <v/>
      </c>
      <c r="H180" s="62"/>
      <c r="I180" s="62"/>
      <c r="J180" s="5" t="str">
        <f t="shared" ref="J180:J186" si="29">IF(F180="Yes","Y","N")</f>
        <v>N</v>
      </c>
      <c r="K180" s="5" t="str">
        <f t="shared" si="27"/>
        <v/>
      </c>
    </row>
    <row r="181" spans="1:11" ht="24">
      <c r="A181" s="40">
        <v>2</v>
      </c>
      <c r="B181" s="48" t="s">
        <v>318</v>
      </c>
      <c r="C181" s="40">
        <v>1</v>
      </c>
      <c r="D181" s="5" t="s">
        <v>319</v>
      </c>
      <c r="E181" s="5" t="s">
        <v>84</v>
      </c>
      <c r="F181" s="62"/>
      <c r="G181" s="5" t="str">
        <f>IF(F181="Yes","All the parameters set false as default.",IF(OR(F181="No",F181="NA"),"Recommended to set all the parameters to false as default.",""))</f>
        <v/>
      </c>
      <c r="H181" s="62"/>
      <c r="I181" s="62"/>
      <c r="J181" s="5" t="str">
        <f t="shared" si="29"/>
        <v>N</v>
      </c>
      <c r="K181" s="5" t="str">
        <f t="shared" si="27"/>
        <v/>
      </c>
    </row>
    <row r="182" spans="1:11" ht="36">
      <c r="A182" s="40">
        <v>3</v>
      </c>
      <c r="B182" s="48" t="s">
        <v>320</v>
      </c>
      <c r="C182" s="40">
        <v>1</v>
      </c>
      <c r="D182" s="5" t="s">
        <v>321</v>
      </c>
      <c r="E182" s="5" t="s">
        <v>84</v>
      </c>
      <c r="F182" s="62"/>
      <c r="G182" s="5" t="str">
        <f>IF(F182="Yes","Recommended to validate user input before assigning it to a variable.",IF(OR(F182="No",F182="NA"),"The application does not take use input as it is to initialise a variable.",""))</f>
        <v/>
      </c>
      <c r="H182" s="62"/>
      <c r="I182" s="62"/>
      <c r="J182" s="5" t="str">
        <f>IF(F182="Yes","N",IF(NOT(ISBLANK(F182)),"Y","N"))</f>
        <v>N</v>
      </c>
      <c r="K182" s="5" t="str">
        <f>IF(AND(F182="Yes",ISBLANK(H182)),"Please enter your comments","")</f>
        <v/>
      </c>
    </row>
    <row r="183" spans="1:11" ht="36">
      <c r="A183" s="40">
        <v>4</v>
      </c>
      <c r="B183" s="48" t="s">
        <v>322</v>
      </c>
      <c r="C183" s="40">
        <v>1</v>
      </c>
      <c r="D183" s="5" t="s">
        <v>323</v>
      </c>
      <c r="E183" s="5" t="s">
        <v>84</v>
      </c>
      <c r="F183" s="62"/>
      <c r="G183" s="5" t="str">
        <f>IF(F183="Yes","The application does not perform any complex calculations during initialization.",IF(OR(F183="No",F183="NA"),"Recommended not to perform any such complex calculations after initialization.",""))</f>
        <v/>
      </c>
      <c r="H183" s="62"/>
      <c r="I183" s="62"/>
      <c r="J183" s="5" t="str">
        <f t="shared" si="29"/>
        <v>N</v>
      </c>
      <c r="K183" s="5" t="str">
        <f t="shared" si="27"/>
        <v/>
      </c>
    </row>
    <row r="184" spans="1:11" ht="36">
      <c r="A184" s="40">
        <v>5</v>
      </c>
      <c r="B184" s="48" t="s">
        <v>324</v>
      </c>
      <c r="C184" s="40">
        <v>1</v>
      </c>
      <c r="D184" s="5" t="s">
        <v>325</v>
      </c>
      <c r="E184" s="5" t="s">
        <v>84</v>
      </c>
      <c r="F184" s="62"/>
      <c r="G184" s="5" t="str">
        <f>IF(F184="Yes","All resources released when they are no longer required.",IF(OR(F184="No",F184="NA"),"Recommended to release all resources when they are no longer required.",""))</f>
        <v/>
      </c>
      <c r="H184" s="62"/>
      <c r="I184" s="62"/>
      <c r="J184" s="5" t="str">
        <f t="shared" si="29"/>
        <v>N</v>
      </c>
      <c r="K184" s="5" t="str">
        <f t="shared" si="27"/>
        <v/>
      </c>
    </row>
    <row r="185" spans="1:11" ht="36">
      <c r="A185" s="40">
        <v>6</v>
      </c>
      <c r="B185" s="48" t="s">
        <v>326</v>
      </c>
      <c r="C185" s="40">
        <v>1</v>
      </c>
      <c r="D185" s="5" t="str">
        <f>IF(OR('Asset Info'!B8="Java",'Asset Info'!B8="Python"),"NA","Does the application use any technology for garbage collection?")</f>
        <v>Does the application use any technology for garbage collection?</v>
      </c>
      <c r="E185" s="5" t="str">
        <f>IF(OR('Asset Info'!B8="Java",'Asset Info'!B8="Python"),"No","Yes")</f>
        <v>Yes</v>
      </c>
      <c r="F185" s="62"/>
      <c r="G185" s="5" t="str">
        <f>IF(E185="No","The application uses java/python which handles grabage collection.",IF(F185="Yes","The application handles grabage collection.",IF(OR(F184="No",F184="NA"),"Recommended to use technologies that perform automatic garbage collection.","")))</f>
        <v/>
      </c>
      <c r="H185" s="62"/>
      <c r="I185" s="62"/>
      <c r="J185" s="5" t="str">
        <f>IF(OR('Asset Info'!B8="Java",'Asset Info'!B8="Python"),"Y",IF(F185="Yes","Y","N"))</f>
        <v>N</v>
      </c>
      <c r="K185" s="5" t="str">
        <f t="shared" si="27"/>
        <v/>
      </c>
    </row>
    <row r="186" spans="1:11" ht="36">
      <c r="A186" s="42">
        <v>7</v>
      </c>
      <c r="B186" s="48" t="s">
        <v>327</v>
      </c>
      <c r="C186" s="42">
        <v>1</v>
      </c>
      <c r="D186" s="53" t="s">
        <v>328</v>
      </c>
      <c r="E186" s="5" t="str">
        <f>IF(OR('Asset Info'!B8="Java",'Asset Info'!B8="Python"),"Yes","No")</f>
        <v>No</v>
      </c>
      <c r="F186" s="62"/>
      <c r="G186" s="5" t="str">
        <f>IF(F186="Yes","All objects are nullified post release.",IF(OR(F186="No",F186="NA"),"Recommended to nullify objects post release.",""))</f>
        <v/>
      </c>
      <c r="H186" s="62"/>
      <c r="I186" s="62"/>
      <c r="J186" s="5" t="str">
        <f t="shared" si="29"/>
        <v>N</v>
      </c>
      <c r="K186" s="5" t="str">
        <f t="shared" si="27"/>
        <v/>
      </c>
    </row>
    <row r="187" spans="1:11">
      <c r="A187" s="42"/>
      <c r="B187" s="5"/>
      <c r="C187" s="42">
        <v>2</v>
      </c>
      <c r="D187" s="5" t="s">
        <v>329</v>
      </c>
      <c r="E187" s="5" t="str">
        <f>IF(AND('Asset Info'!B8&lt;&gt;"Java",'Asset Info'!B8&lt;&gt;"Python"),"Yes","No")</f>
        <v>Yes</v>
      </c>
      <c r="F187" s="62"/>
      <c r="G187" s="5" t="str">
        <f>IF(F187="Yes","",IF(OR(F187="No",F187="NA"),"No pointers are used.",""))</f>
        <v/>
      </c>
      <c r="H187" s="62"/>
      <c r="I187" s="62"/>
      <c r="J187" s="5" t="str">
        <f>IF(F187="Yes",J188,IF(NOT(ISBLANK(F187)),"Y","N"))</f>
        <v>N</v>
      </c>
      <c r="K187" s="5"/>
    </row>
    <row r="188" spans="1:11" ht="24">
      <c r="A188" s="42"/>
      <c r="B188" s="5"/>
      <c r="C188" s="42">
        <v>2.1</v>
      </c>
      <c r="D188" s="5" t="s">
        <v>330</v>
      </c>
      <c r="E188" s="5" t="str">
        <f>IF(F187="Yes","Yes","No")</f>
        <v>No</v>
      </c>
      <c r="F188" s="62"/>
      <c r="G188" s="5" t="str">
        <f>IF(F188="Yes","All pointers are set to NULL post release.",IF(OR(F188="No",F188="NA"),"Recommended to set all pointers to NULL post release.",""))</f>
        <v/>
      </c>
      <c r="H188" s="62"/>
      <c r="I188" s="62"/>
      <c r="J188" s="5" t="str">
        <f>IF(F188="Yes","Y","N")</f>
        <v>N</v>
      </c>
      <c r="K188" s="5" t="str">
        <f t="shared" si="27"/>
        <v/>
      </c>
    </row>
    <row r="189" spans="1:11" ht="24">
      <c r="A189" s="42">
        <v>8</v>
      </c>
      <c r="B189" s="48" t="s">
        <v>331</v>
      </c>
      <c r="C189" s="42">
        <v>1</v>
      </c>
      <c r="D189" s="5" t="s">
        <v>332</v>
      </c>
      <c r="E189" s="5" t="s">
        <v>84</v>
      </c>
      <c r="F189" s="62"/>
      <c r="G189" s="5" t="str">
        <f>IF(F189="Yes","Reccomended to not use any such variables.",IF(OR(F189="No",F189="NA"),"The application doesnot use any Global, Public or static variables.",""))</f>
        <v/>
      </c>
      <c r="H189" s="62"/>
      <c r="I189" s="62"/>
      <c r="J189" s="5" t="str">
        <f>IF(OR(F189="No",F189="NA"),"Y","N")</f>
        <v>N</v>
      </c>
      <c r="K189" s="5" t="str">
        <f>IF(AND(F189="Yes",ISBLANK(H189)),"Please enter your comments","")</f>
        <v/>
      </c>
    </row>
    <row r="190" spans="1:11" ht="48">
      <c r="A190" s="42">
        <v>9</v>
      </c>
      <c r="B190" s="48" t="s">
        <v>333</v>
      </c>
      <c r="C190" s="42">
        <v>1</v>
      </c>
      <c r="D190" s="5" t="s">
        <v>334</v>
      </c>
      <c r="E190" s="5" t="s">
        <v>84</v>
      </c>
      <c r="F190" s="62"/>
      <c r="G190" s="5" t="str">
        <f>IF(F190="Yes","",IF(OR(F190="No",F190="NA"),"It is not a multithreading application.",""))</f>
        <v/>
      </c>
      <c r="H190" s="62"/>
      <c r="I190" s="62"/>
      <c r="J190" s="5" t="str">
        <f>IF(F190="Yes",J191,IF(NOT(ISBLANK(F190)),"Y","N"))</f>
        <v>N</v>
      </c>
      <c r="K190" s="5"/>
    </row>
    <row r="191" spans="1:11" ht="24">
      <c r="A191" s="42"/>
      <c r="B191" s="5"/>
      <c r="C191" s="42">
        <v>1.1000000000000001</v>
      </c>
      <c r="D191" s="5" t="s">
        <v>335</v>
      </c>
      <c r="E191" s="5" t="str">
        <f>IF(F190="Yes","Yes","No")</f>
        <v>No</v>
      </c>
      <c r="F191" s="62"/>
      <c r="G191" s="5" t="str">
        <f>IF(F191="Yes","The application uses synchronization primitives for multithreading.",IF(OR(F191="No",F191="NA"),"Recommended to use snychronization primitives.",""))</f>
        <v/>
      </c>
      <c r="H191" s="62"/>
      <c r="I191" s="62"/>
      <c r="J191" s="5" t="str">
        <f>IF(F191="Yes","Y","N")</f>
        <v>N</v>
      </c>
      <c r="K191" s="5" t="str">
        <f t="shared" si="27"/>
        <v/>
      </c>
    </row>
    <row r="192" spans="1:11" ht="36">
      <c r="A192" s="42">
        <v>10</v>
      </c>
      <c r="B192" s="48" t="s">
        <v>336</v>
      </c>
      <c r="C192" s="42">
        <v>1</v>
      </c>
      <c r="D192" s="5" t="s">
        <v>337</v>
      </c>
      <c r="E192" s="5" t="str">
        <f>IF(F190="Yes","Yes","No")</f>
        <v>No</v>
      </c>
      <c r="F192" s="62"/>
      <c r="G192" s="5" t="str">
        <f>IF(F192="Yes","The application uses thresd safe functions.",IF(OR(F192="No",F192="NA"),"Recommended to use thread-safe functions.",""))</f>
        <v/>
      </c>
      <c r="H192" s="62"/>
      <c r="I192" s="62"/>
      <c r="J192" s="5" t="str">
        <f>IF(E192="No","Y",IF(OR(F190="No",F190="NA"),"Y",IF(F192="Yes","Y","N")))</f>
        <v>Y</v>
      </c>
      <c r="K192" s="5"/>
    </row>
    <row r="193" spans="1:11" ht="36">
      <c r="A193" s="42">
        <v>11</v>
      </c>
      <c r="B193" s="48" t="s">
        <v>338</v>
      </c>
      <c r="C193" s="42">
        <v>1</v>
      </c>
      <c r="D193" s="5" t="s">
        <v>339</v>
      </c>
      <c r="E193" s="5" t="s">
        <v>84</v>
      </c>
      <c r="F193" s="62"/>
      <c r="G193" s="5" t="str">
        <f>IF(F193="Yes","The application is tested for large or infinite loops.",IF(OR(F193="No",F193="NA"),"Recommended to check for any such possibilities.",""))</f>
        <v/>
      </c>
      <c r="H193" s="62"/>
      <c r="I193" s="62"/>
      <c r="J193" s="5" t="str">
        <f t="shared" ref="J193:J194" si="30">IF(F193="Yes","Y","N")</f>
        <v>N</v>
      </c>
      <c r="K193" s="5" t="str">
        <f t="shared" si="27"/>
        <v/>
      </c>
    </row>
    <row r="194" spans="1:11" ht="24">
      <c r="A194" s="42">
        <v>12</v>
      </c>
      <c r="B194" s="48" t="s">
        <v>340</v>
      </c>
      <c r="C194" s="42">
        <v>1</v>
      </c>
      <c r="D194" s="5" t="s">
        <v>341</v>
      </c>
      <c r="E194" s="5" t="s">
        <v>84</v>
      </c>
      <c r="F194" s="62"/>
      <c r="G194" s="5" t="str">
        <f>IF(F194="Yes","The application undergoes SAST and code walkthroughs regularly.",IF(OR(F194="No",F194="NA"),"Recommended to undergo SAST and code walthroughs.",""))</f>
        <v/>
      </c>
      <c r="H194" s="62"/>
      <c r="I194" s="62"/>
      <c r="J194" s="5" t="str">
        <f t="shared" si="30"/>
        <v>N</v>
      </c>
      <c r="K194" s="5" t="str">
        <f t="shared" si="27"/>
        <v/>
      </c>
    </row>
    <row r="195" spans="1:11" ht="36">
      <c r="A195" s="54">
        <v>13</v>
      </c>
      <c r="B195" s="55" t="s">
        <v>342</v>
      </c>
      <c r="C195" s="54">
        <v>1</v>
      </c>
      <c r="D195" s="56" t="s">
        <v>343</v>
      </c>
      <c r="E195" s="56" t="str">
        <f>IF(F190="Yes","Yes","No")</f>
        <v>No</v>
      </c>
      <c r="F195" s="62"/>
      <c r="G195" s="56" t="str">
        <f>IF(F195="Yes","Compiler optimisation is avoided.",IF(OR(F195="No",F195="NA"),"Recommended to avoid compiler optimisation.",""))</f>
        <v/>
      </c>
      <c r="H195" s="64"/>
      <c r="I195" s="64"/>
      <c r="J195" s="56" t="str">
        <f>IF(E195="No","Y",IF(OR(F190="No",F190="NA"),"Y",IF(F195="Yes","Y","N")))</f>
        <v>Y</v>
      </c>
      <c r="K195" s="56" t="str">
        <f t="shared" si="27"/>
        <v/>
      </c>
    </row>
    <row r="196" spans="1:11">
      <c r="A196" s="42">
        <v>14</v>
      </c>
      <c r="B196" s="48" t="s">
        <v>344</v>
      </c>
      <c r="C196" s="42">
        <v>1</v>
      </c>
      <c r="D196" s="5" t="s">
        <v>345</v>
      </c>
      <c r="E196" s="5" t="str">
        <f>IF('Asset Info'!B8="Python","No","Yes")</f>
        <v>Yes</v>
      </c>
      <c r="F196" s="62"/>
      <c r="G196" s="5" t="str">
        <f>IF(F196="Yes","The application takes care of compiler warnings.",IF(OR(F196="No",F196="NA"),"Recommended to solve compiler warnings.",""))</f>
        <v/>
      </c>
      <c r="H196" s="62"/>
      <c r="I196" s="62"/>
      <c r="J196" s="5" t="str">
        <f>IF(E196="No","Y",IF(F196="Yes","Y","N"))</f>
        <v>N</v>
      </c>
      <c r="K196" s="5" t="str">
        <f t="shared" si="27"/>
        <v/>
      </c>
    </row>
  </sheetData>
  <sheetProtection algorithmName="SHA-512" hashValue="ayJyJAuAMyoDszNx93T7P08sLy7U1KUPm7F+HjeQ8j/f0ZCpKbcvWToO1SpV2+FnLg9IRBldfJz5JB+EEOJkiA==" saltValue="Pa1TsGMxFAE4wKJ7K2PtcA==" spinCount="100000" sheet="1"/>
  <mergeCells count="12">
    <mergeCell ref="A39:K39"/>
    <mergeCell ref="A1:K1"/>
    <mergeCell ref="A113:K113"/>
    <mergeCell ref="A102:K102"/>
    <mergeCell ref="A85:K85"/>
    <mergeCell ref="A74:K74"/>
    <mergeCell ref="A58:K58"/>
    <mergeCell ref="A179:J179"/>
    <mergeCell ref="A168:K168"/>
    <mergeCell ref="A156:K156"/>
    <mergeCell ref="A139:K139"/>
    <mergeCell ref="A125:K125"/>
  </mergeCells>
  <conditionalFormatting sqref="C3:I196">
    <cfRule type="expression" dxfId="1" priority="1">
      <formula>$E3&lt;&gt;"Yes"</formula>
    </cfRule>
  </conditionalFormatting>
  <conditionalFormatting sqref="H3:H38 H40:H57 H59:H73 H75:H84 H86:H101 H103:H112 H114:H124 H126:H138 H140:H155 H157:H167 H169:H196">
    <cfRule type="expression" dxfId="0" priority="2">
      <formula>$K3="Please enter your comments"</formula>
    </cfRule>
  </conditionalFormatting>
  <dataValidations count="2">
    <dataValidation type="list" allowBlank="1" showInputMessage="1" showErrorMessage="1" error="Please select from the dropdown." sqref="F86:F101 F75:F84 F40:F57 F169:F178 F114:F124 F103:F112 F126:F138 F140:F155 F157:F167 F180:F196 F3:F38 F59:F73" xr:uid="{99F6F03B-C425-440A-8C9B-C99B2BB41D10}">
      <formula1>"Yes,No,NA"</formula1>
    </dataValidation>
    <dataValidation allowBlank="1" showInputMessage="1" showErrorMessage="1" sqref="A125 A113 A102 A85 A74 A58 A139 A156 A168 A179:J179 A39" xr:uid="{26E18810-5049-4677-B0F1-6C76DC33A72C}"/>
  </dataValidations>
  <pageMargins left="0.7" right="0.7" top="0.75" bottom="0.75" header="0.3" footer="0.3"/>
  <pageSetup orientation="portrait" r:id="rId1"/>
  <headerFooter>
    <oddHeader>&amp;L&amp;"Calibri"&amp;10&amp;K000000TCS Internal&amp;1#</oddHeader>
    <oddFooter>&amp;L&amp;1#&amp;"Calibri"&amp;10&amp;K000000TCS 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0B057-A7DC-4043-AF79-721C5D1AE754}">
  <dimension ref="A1:H93"/>
  <sheetViews>
    <sheetView topLeftCell="A38" workbookViewId="0">
      <selection activeCell="C40" sqref="C40"/>
    </sheetView>
  </sheetViews>
  <sheetFormatPr defaultRowHeight="14.45"/>
  <cols>
    <col min="2" max="2" width="13.140625" customWidth="1"/>
    <col min="3" max="3" width="29.7109375" customWidth="1"/>
    <col min="4" max="4" width="8.28515625" customWidth="1"/>
    <col min="5" max="5" width="44.5703125" customWidth="1"/>
    <col min="6" max="7" width="31.5703125" style="14" customWidth="1"/>
    <col min="8" max="8" width="38.28515625" style="78" customWidth="1"/>
  </cols>
  <sheetData>
    <row r="1" spans="1:8" s="1" customFormat="1">
      <c r="A1" s="105" t="s">
        <v>346</v>
      </c>
      <c r="B1" s="105"/>
      <c r="C1" s="105"/>
      <c r="D1" s="105"/>
      <c r="E1" s="105"/>
      <c r="F1" s="79"/>
      <c r="G1" s="79"/>
    </row>
    <row r="2" spans="1:8" s="1" customFormat="1">
      <c r="A2" s="106"/>
      <c r="B2" s="106"/>
      <c r="C2" s="106"/>
      <c r="D2" s="106"/>
      <c r="E2" s="106"/>
      <c r="F2" s="79"/>
      <c r="G2" s="79"/>
    </row>
    <row r="3" spans="1:8" s="1" customFormat="1">
      <c r="A3" s="101" t="s">
        <v>347</v>
      </c>
      <c r="B3" s="101"/>
      <c r="C3" s="107"/>
      <c r="D3" s="107"/>
      <c r="E3" s="107"/>
      <c r="F3" s="79"/>
      <c r="G3" s="79"/>
    </row>
    <row r="4" spans="1:8" s="1" customFormat="1">
      <c r="A4" s="101" t="s">
        <v>348</v>
      </c>
      <c r="B4" s="101"/>
      <c r="C4" s="108"/>
      <c r="D4" s="108"/>
      <c r="E4" s="108"/>
      <c r="F4" s="79"/>
      <c r="G4" s="79"/>
    </row>
    <row r="5" spans="1:8" s="2" customFormat="1" ht="29.1" customHeight="1">
      <c r="A5" s="101" t="s">
        <v>349</v>
      </c>
      <c r="B5" s="101"/>
      <c r="C5" s="102"/>
      <c r="D5" s="103"/>
      <c r="E5" s="104"/>
      <c r="F5" s="80"/>
      <c r="G5" s="80"/>
    </row>
    <row r="6" spans="1:8" s="2" customFormat="1" ht="12.95">
      <c r="A6" s="73"/>
      <c r="B6" s="73"/>
      <c r="C6" s="74"/>
      <c r="D6" s="74"/>
      <c r="F6" s="80"/>
      <c r="G6" s="80"/>
    </row>
    <row r="7" spans="1:8">
      <c r="A7" s="75" t="s">
        <v>350</v>
      </c>
      <c r="B7" s="75" t="s">
        <v>351</v>
      </c>
      <c r="C7" s="75" t="s">
        <v>352</v>
      </c>
      <c r="D7" s="75" t="s">
        <v>353</v>
      </c>
      <c r="E7" s="75" t="s">
        <v>354</v>
      </c>
      <c r="F7" s="81" t="s">
        <v>355</v>
      </c>
      <c r="G7" s="81" t="s">
        <v>356</v>
      </c>
      <c r="H7" s="75" t="s">
        <v>357</v>
      </c>
    </row>
    <row r="8" spans="1:8" ht="72.599999999999994">
      <c r="A8" s="76">
        <v>1</v>
      </c>
      <c r="B8" s="76" t="s">
        <v>358</v>
      </c>
      <c r="C8" s="76" t="s">
        <v>359</v>
      </c>
      <c r="D8" s="76">
        <v>1.1000000000000001</v>
      </c>
      <c r="E8" s="76" t="s">
        <v>360</v>
      </c>
      <c r="F8" s="82"/>
      <c r="G8" s="82"/>
      <c r="H8" s="76" t="s">
        <v>361</v>
      </c>
    </row>
    <row r="9" spans="1:8" ht="57.95">
      <c r="A9" s="76">
        <v>2</v>
      </c>
      <c r="B9" s="76" t="s">
        <v>358</v>
      </c>
      <c r="C9" s="76" t="s">
        <v>359</v>
      </c>
      <c r="D9" s="76">
        <v>1.2</v>
      </c>
      <c r="E9" s="76" t="s">
        <v>362</v>
      </c>
      <c r="F9" s="82"/>
      <c r="G9" s="82"/>
      <c r="H9" s="76" t="s">
        <v>363</v>
      </c>
    </row>
    <row r="10" spans="1:8" ht="43.5">
      <c r="A10" s="76">
        <v>3</v>
      </c>
      <c r="B10" s="76" t="s">
        <v>358</v>
      </c>
      <c r="C10" s="76" t="s">
        <v>359</v>
      </c>
      <c r="D10" s="76">
        <v>1.3</v>
      </c>
      <c r="E10" s="76" t="s">
        <v>364</v>
      </c>
      <c r="F10" s="82"/>
      <c r="G10" s="82"/>
      <c r="H10" s="76" t="s">
        <v>363</v>
      </c>
    </row>
    <row r="11" spans="1:8" ht="72.599999999999994">
      <c r="A11" s="76">
        <v>4</v>
      </c>
      <c r="B11" s="76" t="s">
        <v>358</v>
      </c>
      <c r="C11" s="76" t="s">
        <v>359</v>
      </c>
      <c r="D11" s="76">
        <v>1.4</v>
      </c>
      <c r="E11" s="76" t="s">
        <v>365</v>
      </c>
      <c r="F11" s="82"/>
      <c r="G11" s="82"/>
      <c r="H11" s="76" t="s">
        <v>366</v>
      </c>
    </row>
    <row r="12" spans="1:8" ht="72.599999999999994">
      <c r="A12" s="76">
        <v>5</v>
      </c>
      <c r="B12" s="76" t="s">
        <v>367</v>
      </c>
      <c r="C12" s="76" t="s">
        <v>368</v>
      </c>
      <c r="D12" s="76">
        <v>2.1</v>
      </c>
      <c r="E12" s="76" t="s">
        <v>369</v>
      </c>
      <c r="F12" s="82"/>
      <c r="G12" s="82"/>
      <c r="H12" s="76" t="s">
        <v>370</v>
      </c>
    </row>
    <row r="13" spans="1:8" ht="43.5">
      <c r="A13" s="76">
        <v>6</v>
      </c>
      <c r="B13" s="76" t="s">
        <v>367</v>
      </c>
      <c r="C13" s="76" t="s">
        <v>368</v>
      </c>
      <c r="D13" s="76">
        <v>2.2000000000000002</v>
      </c>
      <c r="E13" s="76" t="s">
        <v>371</v>
      </c>
      <c r="F13" s="82"/>
      <c r="G13" s="82"/>
      <c r="H13" s="76" t="s">
        <v>372</v>
      </c>
    </row>
    <row r="14" spans="1:8" ht="87">
      <c r="A14" s="76">
        <v>7</v>
      </c>
      <c r="B14" s="76" t="s">
        <v>367</v>
      </c>
      <c r="C14" s="76" t="s">
        <v>368</v>
      </c>
      <c r="D14" s="76">
        <v>2.2999999999999998</v>
      </c>
      <c r="E14" s="76" t="s">
        <v>373</v>
      </c>
      <c r="F14" s="82"/>
      <c r="G14" s="82"/>
      <c r="H14" s="76" t="s">
        <v>374</v>
      </c>
    </row>
    <row r="15" spans="1:8" ht="217.5">
      <c r="A15" s="76">
        <v>8</v>
      </c>
      <c r="B15" s="76" t="s">
        <v>367</v>
      </c>
      <c r="C15" s="76" t="s">
        <v>368</v>
      </c>
      <c r="D15" s="76">
        <v>2.4</v>
      </c>
      <c r="E15" s="76" t="s">
        <v>375</v>
      </c>
      <c r="F15" s="82"/>
      <c r="G15" s="82"/>
      <c r="H15" s="76" t="s">
        <v>376</v>
      </c>
    </row>
    <row r="16" spans="1:8" ht="72.599999999999994">
      <c r="A16" s="76">
        <v>9</v>
      </c>
      <c r="B16" s="76" t="s">
        <v>367</v>
      </c>
      <c r="C16" s="76" t="s">
        <v>368</v>
      </c>
      <c r="D16" s="76">
        <v>2.5</v>
      </c>
      <c r="E16" s="76" t="s">
        <v>377</v>
      </c>
      <c r="F16" s="82"/>
      <c r="G16" s="82"/>
      <c r="H16" s="76" t="s">
        <v>378</v>
      </c>
    </row>
    <row r="17" spans="1:8" ht="116.1">
      <c r="A17" s="76">
        <v>10</v>
      </c>
      <c r="B17" s="76" t="s">
        <v>367</v>
      </c>
      <c r="C17" s="76" t="s">
        <v>368</v>
      </c>
      <c r="D17" s="76">
        <v>2.6</v>
      </c>
      <c r="E17" s="76" t="s">
        <v>379</v>
      </c>
      <c r="F17" s="82"/>
      <c r="G17" s="82"/>
      <c r="H17" s="76" t="s">
        <v>380</v>
      </c>
    </row>
    <row r="18" spans="1:8" ht="116.1">
      <c r="A18" s="76">
        <v>11</v>
      </c>
      <c r="B18" s="76" t="s">
        <v>367</v>
      </c>
      <c r="C18" s="76" t="s">
        <v>368</v>
      </c>
      <c r="D18" s="76">
        <v>2.7</v>
      </c>
      <c r="E18" s="76" t="s">
        <v>381</v>
      </c>
      <c r="F18" s="82"/>
      <c r="G18" s="82"/>
      <c r="H18" s="76" t="s">
        <v>382</v>
      </c>
    </row>
    <row r="19" spans="1:8" ht="87">
      <c r="A19" s="76">
        <v>12</v>
      </c>
      <c r="B19" s="76" t="s">
        <v>367</v>
      </c>
      <c r="C19" s="76" t="s">
        <v>368</v>
      </c>
      <c r="D19" s="76">
        <v>2.8</v>
      </c>
      <c r="E19" s="76" t="s">
        <v>383</v>
      </c>
      <c r="F19" s="82"/>
      <c r="G19" s="82"/>
      <c r="H19" s="76" t="s">
        <v>384</v>
      </c>
    </row>
    <row r="20" spans="1:8" ht="29.1">
      <c r="A20" s="76">
        <v>13</v>
      </c>
      <c r="B20" s="76" t="s">
        <v>367</v>
      </c>
      <c r="C20" s="76" t="s">
        <v>368</v>
      </c>
      <c r="D20" s="76">
        <v>2.9</v>
      </c>
      <c r="E20" s="76" t="s">
        <v>385</v>
      </c>
      <c r="F20" s="82"/>
      <c r="G20" s="82"/>
      <c r="H20" s="76" t="s">
        <v>386</v>
      </c>
    </row>
    <row r="21" spans="1:8" ht="43.5">
      <c r="A21" s="76">
        <v>14</v>
      </c>
      <c r="B21" s="76" t="s">
        <v>367</v>
      </c>
      <c r="C21" s="76" t="s">
        <v>368</v>
      </c>
      <c r="D21" s="76">
        <v>2.1</v>
      </c>
      <c r="E21" s="76" t="s">
        <v>387</v>
      </c>
      <c r="F21" s="82"/>
      <c r="G21" s="82"/>
      <c r="H21" s="76" t="s">
        <v>388</v>
      </c>
    </row>
    <row r="22" spans="1:8" ht="130.5">
      <c r="A22" s="76">
        <v>15</v>
      </c>
      <c r="B22" s="76" t="s">
        <v>367</v>
      </c>
      <c r="C22" s="76" t="s">
        <v>368</v>
      </c>
      <c r="D22" s="76">
        <v>2.11</v>
      </c>
      <c r="E22" s="76" t="s">
        <v>389</v>
      </c>
      <c r="F22" s="82"/>
      <c r="G22" s="82"/>
      <c r="H22" s="76" t="s">
        <v>390</v>
      </c>
    </row>
    <row r="23" spans="1:8" ht="43.5">
      <c r="A23" s="76">
        <v>16</v>
      </c>
      <c r="B23" s="76" t="s">
        <v>367</v>
      </c>
      <c r="C23" s="76" t="s">
        <v>368</v>
      </c>
      <c r="D23" s="76">
        <v>2.12</v>
      </c>
      <c r="E23" s="76" t="s">
        <v>391</v>
      </c>
      <c r="F23" s="82"/>
      <c r="G23" s="82"/>
      <c r="H23" s="76" t="s">
        <v>392</v>
      </c>
    </row>
    <row r="24" spans="1:8" ht="29.1">
      <c r="A24" s="76">
        <v>17</v>
      </c>
      <c r="B24" s="76" t="s">
        <v>367</v>
      </c>
      <c r="C24" s="76" t="s">
        <v>368</v>
      </c>
      <c r="D24" s="76">
        <v>2.13</v>
      </c>
      <c r="E24" s="76" t="s">
        <v>393</v>
      </c>
      <c r="F24" s="82"/>
      <c r="G24" s="82"/>
      <c r="H24" s="76" t="s">
        <v>394</v>
      </c>
    </row>
    <row r="25" spans="1:8" ht="116.1">
      <c r="A25" s="76">
        <v>18</v>
      </c>
      <c r="B25" s="76" t="s">
        <v>367</v>
      </c>
      <c r="C25" s="76" t="s">
        <v>368</v>
      </c>
      <c r="D25" s="76">
        <v>2.14</v>
      </c>
      <c r="E25" s="76" t="s">
        <v>395</v>
      </c>
      <c r="F25" s="82"/>
      <c r="G25" s="82"/>
      <c r="H25" s="76" t="s">
        <v>396</v>
      </c>
    </row>
    <row r="26" spans="1:8" ht="101.45">
      <c r="A26" s="76">
        <v>19</v>
      </c>
      <c r="B26" s="76" t="s">
        <v>367</v>
      </c>
      <c r="C26" s="76" t="s">
        <v>368</v>
      </c>
      <c r="D26" s="76">
        <v>2.15</v>
      </c>
      <c r="E26" s="76" t="s">
        <v>397</v>
      </c>
      <c r="F26" s="82"/>
      <c r="G26" s="82"/>
      <c r="H26" s="76" t="s">
        <v>398</v>
      </c>
    </row>
    <row r="27" spans="1:8" ht="130.5">
      <c r="A27" s="76">
        <v>20</v>
      </c>
      <c r="B27" s="76" t="s">
        <v>367</v>
      </c>
      <c r="C27" s="76" t="s">
        <v>368</v>
      </c>
      <c r="D27" s="76">
        <v>2.16</v>
      </c>
      <c r="E27" s="76" t="s">
        <v>399</v>
      </c>
      <c r="F27" s="82"/>
      <c r="G27" s="82"/>
      <c r="H27" s="76" t="s">
        <v>400</v>
      </c>
    </row>
    <row r="28" spans="1:8" ht="72.599999999999994">
      <c r="A28" s="76">
        <v>21</v>
      </c>
      <c r="B28" s="76" t="s">
        <v>367</v>
      </c>
      <c r="C28" s="76" t="s">
        <v>368</v>
      </c>
      <c r="D28" s="76">
        <v>2.17</v>
      </c>
      <c r="E28" s="76" t="s">
        <v>401</v>
      </c>
      <c r="F28" s="82"/>
      <c r="G28" s="82"/>
      <c r="H28" s="76" t="s">
        <v>402</v>
      </c>
    </row>
    <row r="29" spans="1:8" ht="101.45">
      <c r="A29" s="76">
        <v>21</v>
      </c>
      <c r="B29" s="76" t="s">
        <v>367</v>
      </c>
      <c r="C29" s="76" t="s">
        <v>368</v>
      </c>
      <c r="D29" s="76">
        <v>2.1800000000000002</v>
      </c>
      <c r="E29" s="76" t="s">
        <v>403</v>
      </c>
      <c r="F29" s="82"/>
      <c r="G29" s="82"/>
      <c r="H29" s="76" t="s">
        <v>404</v>
      </c>
    </row>
    <row r="30" spans="1:8" ht="144.94999999999999">
      <c r="A30" s="76">
        <v>22</v>
      </c>
      <c r="B30" s="76" t="s">
        <v>405</v>
      </c>
      <c r="C30" s="76" t="s">
        <v>406</v>
      </c>
      <c r="D30" s="76">
        <v>3.1</v>
      </c>
      <c r="E30" s="76" t="s">
        <v>407</v>
      </c>
      <c r="F30" s="82"/>
      <c r="G30" s="82"/>
      <c r="H30" s="76" t="s">
        <v>408</v>
      </c>
    </row>
    <row r="31" spans="1:8" ht="130.5">
      <c r="A31" s="76">
        <v>23</v>
      </c>
      <c r="B31" s="76" t="s">
        <v>405</v>
      </c>
      <c r="C31" s="76" t="s">
        <v>406</v>
      </c>
      <c r="D31" s="76">
        <v>3.2</v>
      </c>
      <c r="E31" s="76" t="s">
        <v>409</v>
      </c>
      <c r="F31" s="82"/>
      <c r="G31" s="82"/>
      <c r="H31" s="76" t="s">
        <v>410</v>
      </c>
    </row>
    <row r="32" spans="1:8" ht="72.599999999999994">
      <c r="A32" s="76">
        <v>24</v>
      </c>
      <c r="B32" s="76" t="s">
        <v>405</v>
      </c>
      <c r="C32" s="76" t="s">
        <v>406</v>
      </c>
      <c r="D32" s="76">
        <v>3.3</v>
      </c>
      <c r="E32" s="76" t="s">
        <v>411</v>
      </c>
      <c r="F32" s="82"/>
      <c r="G32" s="82"/>
      <c r="H32" s="76" t="s">
        <v>412</v>
      </c>
    </row>
    <row r="33" spans="1:8" ht="203.1">
      <c r="A33" s="76">
        <v>25</v>
      </c>
      <c r="B33" s="76" t="s">
        <v>405</v>
      </c>
      <c r="C33" s="77" t="s">
        <v>406</v>
      </c>
      <c r="D33" s="76">
        <v>3.4</v>
      </c>
      <c r="E33" s="76" t="s">
        <v>413</v>
      </c>
      <c r="F33" s="82"/>
      <c r="G33" s="82"/>
      <c r="H33" s="76" t="s">
        <v>414</v>
      </c>
    </row>
    <row r="34" spans="1:8" ht="57.95">
      <c r="A34" s="76">
        <v>26</v>
      </c>
      <c r="B34" s="76" t="s">
        <v>405</v>
      </c>
      <c r="C34" s="76" t="s">
        <v>406</v>
      </c>
      <c r="D34" s="76">
        <v>3.5</v>
      </c>
      <c r="E34" s="76" t="s">
        <v>415</v>
      </c>
      <c r="F34" s="82"/>
      <c r="G34" s="82"/>
      <c r="H34" s="76" t="s">
        <v>416</v>
      </c>
    </row>
    <row r="35" spans="1:8" ht="101.45">
      <c r="A35" s="76">
        <v>27</v>
      </c>
      <c r="B35" s="76" t="s">
        <v>417</v>
      </c>
      <c r="C35" s="76" t="s">
        <v>418</v>
      </c>
      <c r="D35" s="76">
        <v>4.0999999999999996</v>
      </c>
      <c r="E35" s="76" t="s">
        <v>419</v>
      </c>
      <c r="F35" s="82"/>
      <c r="G35" s="82"/>
      <c r="H35" s="76" t="s">
        <v>420</v>
      </c>
    </row>
    <row r="36" spans="1:8" ht="87">
      <c r="A36" s="76">
        <v>28</v>
      </c>
      <c r="B36" s="76" t="s">
        <v>417</v>
      </c>
      <c r="C36" s="76" t="s">
        <v>418</v>
      </c>
      <c r="D36" s="76">
        <v>4.2</v>
      </c>
      <c r="E36" s="76" t="s">
        <v>421</v>
      </c>
      <c r="F36" s="82"/>
      <c r="G36" s="82"/>
      <c r="H36" s="76" t="s">
        <v>422</v>
      </c>
    </row>
    <row r="37" spans="1:8" ht="87">
      <c r="A37" s="76">
        <v>29</v>
      </c>
      <c r="B37" s="76" t="s">
        <v>417</v>
      </c>
      <c r="C37" s="76" t="s">
        <v>418</v>
      </c>
      <c r="D37" s="76">
        <v>4.3</v>
      </c>
      <c r="E37" s="76" t="s">
        <v>423</v>
      </c>
      <c r="F37" s="82"/>
      <c r="G37" s="82"/>
      <c r="H37" s="76" t="s">
        <v>424</v>
      </c>
    </row>
    <row r="38" spans="1:8" ht="87">
      <c r="A38" s="76">
        <v>30</v>
      </c>
      <c r="B38" s="76" t="s">
        <v>417</v>
      </c>
      <c r="C38" s="76" t="s">
        <v>418</v>
      </c>
      <c r="D38" s="76">
        <v>4.4000000000000004</v>
      </c>
      <c r="E38" s="76" t="s">
        <v>425</v>
      </c>
      <c r="F38" s="82"/>
      <c r="G38" s="82"/>
      <c r="H38" s="76" t="s">
        <v>426</v>
      </c>
    </row>
    <row r="39" spans="1:8" ht="87">
      <c r="A39" s="76">
        <v>31</v>
      </c>
      <c r="B39" s="76" t="s">
        <v>417</v>
      </c>
      <c r="C39" s="76" t="s">
        <v>418</v>
      </c>
      <c r="D39" s="76">
        <v>4.5</v>
      </c>
      <c r="E39" s="76" t="s">
        <v>427</v>
      </c>
      <c r="F39" s="82"/>
      <c r="G39" s="82"/>
      <c r="H39" s="76" t="s">
        <v>428</v>
      </c>
    </row>
    <row r="40" spans="1:8" ht="116.1">
      <c r="A40" s="76">
        <v>32</v>
      </c>
      <c r="B40" s="76" t="s">
        <v>417</v>
      </c>
      <c r="C40" s="76" t="s">
        <v>418</v>
      </c>
      <c r="D40" s="76">
        <v>4.5999999999999996</v>
      </c>
      <c r="E40" s="76" t="s">
        <v>429</v>
      </c>
      <c r="F40" s="82"/>
      <c r="G40" s="82"/>
      <c r="H40" s="76" t="s">
        <v>430</v>
      </c>
    </row>
    <row r="41" spans="1:8" ht="188.45">
      <c r="A41" s="76">
        <v>33</v>
      </c>
      <c r="B41" s="76" t="s">
        <v>431</v>
      </c>
      <c r="C41" s="76" t="s">
        <v>432</v>
      </c>
      <c r="D41" s="76">
        <v>5.0999999999999996</v>
      </c>
      <c r="E41" s="76" t="s">
        <v>433</v>
      </c>
      <c r="F41" s="82"/>
      <c r="G41" s="82"/>
      <c r="H41" s="76" t="s">
        <v>434</v>
      </c>
    </row>
    <row r="42" spans="1:8" ht="43.5">
      <c r="A42" s="76">
        <v>34</v>
      </c>
      <c r="B42" s="76" t="s">
        <v>431</v>
      </c>
      <c r="C42" s="76" t="s">
        <v>432</v>
      </c>
      <c r="D42" s="76">
        <v>5.2</v>
      </c>
      <c r="E42" s="76" t="s">
        <v>435</v>
      </c>
      <c r="F42" s="82"/>
      <c r="G42" s="82"/>
      <c r="H42" s="76" t="s">
        <v>436</v>
      </c>
    </row>
    <row r="43" spans="1:8" ht="87">
      <c r="A43" s="76">
        <v>35</v>
      </c>
      <c r="B43" s="76" t="s">
        <v>431</v>
      </c>
      <c r="C43" s="76" t="s">
        <v>432</v>
      </c>
      <c r="D43" s="76">
        <v>5.3</v>
      </c>
      <c r="E43" s="76" t="s">
        <v>437</v>
      </c>
      <c r="F43" s="82"/>
      <c r="G43" s="82"/>
      <c r="H43" s="76" t="s">
        <v>438</v>
      </c>
    </row>
    <row r="44" spans="1:8" ht="87">
      <c r="A44" s="76">
        <v>36</v>
      </c>
      <c r="B44" s="76" t="s">
        <v>431</v>
      </c>
      <c r="C44" s="76" t="s">
        <v>432</v>
      </c>
      <c r="D44" s="76">
        <v>5.4</v>
      </c>
      <c r="E44" s="76" t="s">
        <v>439</v>
      </c>
      <c r="F44" s="82"/>
      <c r="G44" s="82"/>
      <c r="H44" s="76" t="s">
        <v>440</v>
      </c>
    </row>
    <row r="45" spans="1:8" ht="130.5">
      <c r="A45" s="76">
        <v>38</v>
      </c>
      <c r="B45" s="76" t="s">
        <v>431</v>
      </c>
      <c r="C45" s="76" t="s">
        <v>432</v>
      </c>
      <c r="D45" s="76">
        <v>5.5</v>
      </c>
      <c r="E45" s="76" t="s">
        <v>441</v>
      </c>
      <c r="F45" s="82"/>
      <c r="G45" s="82"/>
      <c r="H45" s="76" t="s">
        <v>442</v>
      </c>
    </row>
    <row r="46" spans="1:8" ht="72.599999999999994">
      <c r="A46" s="76">
        <v>37</v>
      </c>
      <c r="B46" s="76" t="s">
        <v>431</v>
      </c>
      <c r="C46" s="76" t="s">
        <v>432</v>
      </c>
      <c r="D46" s="76">
        <v>5.6</v>
      </c>
      <c r="E46" s="76" t="s">
        <v>443</v>
      </c>
      <c r="F46" s="82"/>
      <c r="G46" s="82"/>
      <c r="H46" s="76" t="s">
        <v>444</v>
      </c>
    </row>
    <row r="47" spans="1:8" ht="275.45">
      <c r="A47" s="76">
        <v>38</v>
      </c>
      <c r="B47" s="76" t="s">
        <v>431</v>
      </c>
      <c r="C47" s="76" t="s">
        <v>432</v>
      </c>
      <c r="D47" s="76">
        <v>5.7</v>
      </c>
      <c r="E47" s="76" t="s">
        <v>445</v>
      </c>
      <c r="F47" s="82"/>
      <c r="G47" s="82"/>
      <c r="H47" s="76" t="s">
        <v>446</v>
      </c>
    </row>
    <row r="48" spans="1:8" ht="261">
      <c r="A48" s="76">
        <v>39</v>
      </c>
      <c r="B48" s="76" t="s">
        <v>431</v>
      </c>
      <c r="C48" s="76" t="s">
        <v>432</v>
      </c>
      <c r="D48" s="76">
        <v>5.8</v>
      </c>
      <c r="E48" s="76" t="s">
        <v>447</v>
      </c>
      <c r="F48" s="82"/>
      <c r="G48" s="82"/>
      <c r="H48" s="76" t="s">
        <v>448</v>
      </c>
    </row>
    <row r="49" spans="1:8" ht="87">
      <c r="A49" s="76">
        <v>40</v>
      </c>
      <c r="B49" s="76" t="s">
        <v>431</v>
      </c>
      <c r="C49" s="76" t="s">
        <v>432</v>
      </c>
      <c r="D49" s="76">
        <v>5.9</v>
      </c>
      <c r="E49" s="76" t="s">
        <v>449</v>
      </c>
      <c r="F49" s="82"/>
      <c r="G49" s="82"/>
      <c r="H49" s="76" t="s">
        <v>450</v>
      </c>
    </row>
    <row r="50" spans="1:8" ht="174">
      <c r="A50" s="76">
        <v>41</v>
      </c>
      <c r="B50" s="76" t="s">
        <v>431</v>
      </c>
      <c r="C50" s="76" t="s">
        <v>432</v>
      </c>
      <c r="D50" s="76">
        <v>5.0999999999999996</v>
      </c>
      <c r="E50" s="76" t="s">
        <v>451</v>
      </c>
      <c r="F50" s="82"/>
      <c r="G50" s="82"/>
      <c r="H50" s="76" t="s">
        <v>452</v>
      </c>
    </row>
    <row r="51" spans="1:8" ht="72.599999999999994">
      <c r="A51" s="76">
        <v>42</v>
      </c>
      <c r="B51" s="76" t="s">
        <v>431</v>
      </c>
      <c r="C51" s="76" t="s">
        <v>432</v>
      </c>
      <c r="D51" s="76">
        <v>5.1100000000000003</v>
      </c>
      <c r="E51" s="76" t="s">
        <v>453</v>
      </c>
      <c r="F51" s="82"/>
      <c r="G51" s="82"/>
      <c r="H51" s="76" t="s">
        <v>454</v>
      </c>
    </row>
    <row r="52" spans="1:8" ht="101.45">
      <c r="A52" s="76">
        <v>43</v>
      </c>
      <c r="B52" s="76" t="s">
        <v>431</v>
      </c>
      <c r="C52" s="76" t="s">
        <v>432</v>
      </c>
      <c r="D52" s="76">
        <v>5.12</v>
      </c>
      <c r="E52" s="76" t="s">
        <v>455</v>
      </c>
      <c r="F52" s="82"/>
      <c r="G52" s="82"/>
      <c r="H52" s="76" t="s">
        <v>456</v>
      </c>
    </row>
    <row r="53" spans="1:8" ht="101.45">
      <c r="A53" s="76">
        <v>46</v>
      </c>
      <c r="B53" s="76" t="s">
        <v>431</v>
      </c>
      <c r="C53" s="76" t="s">
        <v>432</v>
      </c>
      <c r="D53" s="76">
        <v>5.13</v>
      </c>
      <c r="E53" s="76" t="s">
        <v>457</v>
      </c>
      <c r="F53" s="82"/>
      <c r="G53" s="82"/>
      <c r="H53" s="76" t="s">
        <v>458</v>
      </c>
    </row>
    <row r="54" spans="1:8" ht="159.6">
      <c r="A54" s="76">
        <v>44</v>
      </c>
      <c r="B54" s="76" t="s">
        <v>431</v>
      </c>
      <c r="C54" s="76" t="s">
        <v>432</v>
      </c>
      <c r="D54" s="76">
        <v>5.14</v>
      </c>
      <c r="E54" s="76" t="s">
        <v>459</v>
      </c>
      <c r="F54" s="82"/>
      <c r="G54" s="82"/>
      <c r="H54" s="76" t="s">
        <v>460</v>
      </c>
    </row>
    <row r="55" spans="1:8" ht="72.599999999999994">
      <c r="A55" s="76">
        <v>45</v>
      </c>
      <c r="B55" s="76" t="s">
        <v>431</v>
      </c>
      <c r="C55" s="76" t="s">
        <v>432</v>
      </c>
      <c r="D55" s="76">
        <v>5.15</v>
      </c>
      <c r="E55" s="76" t="s">
        <v>461</v>
      </c>
      <c r="F55" s="82"/>
      <c r="G55" s="82"/>
      <c r="H55" s="76" t="s">
        <v>462</v>
      </c>
    </row>
    <row r="56" spans="1:8" ht="130.5">
      <c r="A56" s="76">
        <v>46</v>
      </c>
      <c r="B56" s="76" t="s">
        <v>431</v>
      </c>
      <c r="C56" s="76" t="s">
        <v>432</v>
      </c>
      <c r="D56" s="76">
        <v>5.16</v>
      </c>
      <c r="E56" s="76" t="s">
        <v>463</v>
      </c>
      <c r="F56" s="82"/>
      <c r="G56" s="82"/>
      <c r="H56" s="76" t="s">
        <v>464</v>
      </c>
    </row>
    <row r="57" spans="1:8" ht="159.6">
      <c r="A57" s="76">
        <v>47</v>
      </c>
      <c r="B57" s="76" t="s">
        <v>431</v>
      </c>
      <c r="C57" s="76" t="s">
        <v>432</v>
      </c>
      <c r="D57" s="76">
        <v>5.17</v>
      </c>
      <c r="E57" s="76" t="s">
        <v>465</v>
      </c>
      <c r="F57" s="82"/>
      <c r="G57" s="82"/>
      <c r="H57" s="76" t="s">
        <v>466</v>
      </c>
    </row>
    <row r="58" spans="1:8" ht="72.599999999999994">
      <c r="A58" s="76">
        <v>48</v>
      </c>
      <c r="B58" s="76" t="s">
        <v>467</v>
      </c>
      <c r="C58" s="76" t="s">
        <v>468</v>
      </c>
      <c r="D58" s="76">
        <v>6.1</v>
      </c>
      <c r="E58" s="76" t="s">
        <v>469</v>
      </c>
      <c r="F58" s="82"/>
      <c r="G58" s="82"/>
      <c r="H58" s="76" t="s">
        <v>470</v>
      </c>
    </row>
    <row r="59" spans="1:8" ht="43.5">
      <c r="A59" s="76">
        <v>49</v>
      </c>
      <c r="B59" s="76" t="s">
        <v>467</v>
      </c>
      <c r="C59" s="76" t="s">
        <v>468</v>
      </c>
      <c r="D59" s="76">
        <v>6.2</v>
      </c>
      <c r="E59" s="76" t="s">
        <v>471</v>
      </c>
      <c r="F59" s="82"/>
      <c r="G59" s="82"/>
      <c r="H59" s="76" t="s">
        <v>470</v>
      </c>
    </row>
    <row r="60" spans="1:8" ht="43.5">
      <c r="A60" s="76">
        <v>50</v>
      </c>
      <c r="B60" s="76" t="s">
        <v>467</v>
      </c>
      <c r="C60" s="76" t="s">
        <v>468</v>
      </c>
      <c r="D60" s="76">
        <v>6.3</v>
      </c>
      <c r="E60" s="76" t="s">
        <v>472</v>
      </c>
      <c r="F60" s="82"/>
      <c r="G60" s="82"/>
      <c r="H60" s="76" t="s">
        <v>470</v>
      </c>
    </row>
    <row r="61" spans="1:8" ht="57.95">
      <c r="A61" s="76">
        <v>51</v>
      </c>
      <c r="B61" s="76" t="s">
        <v>467</v>
      </c>
      <c r="C61" s="76" t="s">
        <v>468</v>
      </c>
      <c r="D61" s="76">
        <v>6.4</v>
      </c>
      <c r="E61" s="76" t="s">
        <v>473</v>
      </c>
      <c r="F61" s="82"/>
      <c r="G61" s="82"/>
      <c r="H61" s="76" t="s">
        <v>470</v>
      </c>
    </row>
    <row r="62" spans="1:8" ht="57.95">
      <c r="A62" s="76">
        <v>52</v>
      </c>
      <c r="B62" s="76" t="s">
        <v>467</v>
      </c>
      <c r="C62" s="76" t="s">
        <v>468</v>
      </c>
      <c r="D62" s="76">
        <v>6.5</v>
      </c>
      <c r="E62" s="76" t="s">
        <v>474</v>
      </c>
      <c r="F62" s="82"/>
      <c r="G62" s="82"/>
      <c r="H62" s="76" t="s">
        <v>470</v>
      </c>
    </row>
    <row r="63" spans="1:8" ht="72.599999999999994">
      <c r="A63" s="76">
        <v>53</v>
      </c>
      <c r="B63" s="76" t="s">
        <v>467</v>
      </c>
      <c r="C63" s="76" t="s">
        <v>468</v>
      </c>
      <c r="D63" s="76">
        <v>6.6</v>
      </c>
      <c r="E63" s="76" t="s">
        <v>475</v>
      </c>
      <c r="F63" s="82"/>
      <c r="G63" s="82"/>
      <c r="H63" s="76" t="s">
        <v>470</v>
      </c>
    </row>
    <row r="64" spans="1:8" ht="57.95">
      <c r="A64" s="76">
        <v>54</v>
      </c>
      <c r="B64" s="76" t="s">
        <v>467</v>
      </c>
      <c r="C64" s="76" t="s">
        <v>468</v>
      </c>
      <c r="D64" s="76">
        <v>6.7</v>
      </c>
      <c r="E64" s="76" t="s">
        <v>476</v>
      </c>
      <c r="F64" s="82"/>
      <c r="G64" s="82"/>
      <c r="H64" s="76" t="s">
        <v>470</v>
      </c>
    </row>
    <row r="65" spans="1:8" ht="72.599999999999994">
      <c r="A65" s="76">
        <v>55</v>
      </c>
      <c r="B65" s="76" t="s">
        <v>467</v>
      </c>
      <c r="C65" s="76" t="s">
        <v>468</v>
      </c>
      <c r="D65" s="76">
        <v>6.8</v>
      </c>
      <c r="E65" s="76" t="s">
        <v>477</v>
      </c>
      <c r="F65" s="82"/>
      <c r="G65" s="82"/>
      <c r="H65" s="76" t="s">
        <v>470</v>
      </c>
    </row>
    <row r="66" spans="1:8" ht="87">
      <c r="A66" s="76">
        <v>56</v>
      </c>
      <c r="B66" s="76" t="s">
        <v>467</v>
      </c>
      <c r="C66" s="76" t="s">
        <v>468</v>
      </c>
      <c r="D66" s="76">
        <v>6.9</v>
      </c>
      <c r="E66" s="76" t="s">
        <v>478</v>
      </c>
      <c r="F66" s="82"/>
      <c r="G66" s="82"/>
      <c r="H66" s="76" t="s">
        <v>470</v>
      </c>
    </row>
    <row r="67" spans="1:8" ht="87">
      <c r="A67" s="76">
        <v>57</v>
      </c>
      <c r="B67" s="76" t="s">
        <v>467</v>
      </c>
      <c r="C67" s="76" t="s">
        <v>468</v>
      </c>
      <c r="D67" s="76">
        <v>6.1</v>
      </c>
      <c r="E67" s="76" t="s">
        <v>479</v>
      </c>
      <c r="F67" s="82"/>
      <c r="G67" s="82"/>
      <c r="H67" s="76" t="s">
        <v>470</v>
      </c>
    </row>
    <row r="68" spans="1:8" ht="43.5">
      <c r="A68" s="76">
        <v>58</v>
      </c>
      <c r="B68" s="76" t="s">
        <v>467</v>
      </c>
      <c r="C68" s="76" t="s">
        <v>468</v>
      </c>
      <c r="D68" s="76">
        <v>6.11</v>
      </c>
      <c r="E68" s="76" t="s">
        <v>480</v>
      </c>
      <c r="F68" s="82"/>
      <c r="G68" s="82"/>
      <c r="H68" s="76" t="s">
        <v>470</v>
      </c>
    </row>
    <row r="69" spans="1:8" ht="57.95">
      <c r="A69" s="76">
        <v>59</v>
      </c>
      <c r="B69" s="76" t="s">
        <v>467</v>
      </c>
      <c r="C69" s="76" t="s">
        <v>468</v>
      </c>
      <c r="D69" s="76">
        <v>6.12</v>
      </c>
      <c r="E69" s="76" t="s">
        <v>481</v>
      </c>
      <c r="F69" s="82"/>
      <c r="G69" s="82"/>
      <c r="H69" s="76" t="s">
        <v>470</v>
      </c>
    </row>
    <row r="70" spans="1:8" ht="57.95">
      <c r="A70" s="76">
        <v>60</v>
      </c>
      <c r="B70" s="76" t="s">
        <v>482</v>
      </c>
      <c r="C70" s="76" t="s">
        <v>483</v>
      </c>
      <c r="D70" s="76">
        <v>7.1</v>
      </c>
      <c r="E70" s="76" t="s">
        <v>484</v>
      </c>
      <c r="F70" s="82"/>
      <c r="G70" s="82"/>
      <c r="H70" s="76" t="s">
        <v>485</v>
      </c>
    </row>
    <row r="71" spans="1:8" ht="43.5">
      <c r="A71" s="76">
        <v>61</v>
      </c>
      <c r="B71" s="76" t="s">
        <v>482</v>
      </c>
      <c r="C71" s="76" t="s">
        <v>483</v>
      </c>
      <c r="D71" s="76">
        <v>7.2</v>
      </c>
      <c r="E71" s="76" t="s">
        <v>486</v>
      </c>
      <c r="F71" s="82"/>
      <c r="G71" s="82"/>
      <c r="H71" s="76" t="s">
        <v>487</v>
      </c>
    </row>
    <row r="72" spans="1:8" ht="57.95">
      <c r="A72" s="76">
        <v>62</v>
      </c>
      <c r="B72" s="76" t="s">
        <v>482</v>
      </c>
      <c r="C72" s="76" t="s">
        <v>483</v>
      </c>
      <c r="D72" s="76">
        <v>7.3</v>
      </c>
      <c r="E72" s="76" t="s">
        <v>488</v>
      </c>
      <c r="F72" s="82"/>
      <c r="G72" s="82"/>
      <c r="H72" s="76" t="s">
        <v>489</v>
      </c>
    </row>
    <row r="73" spans="1:8" ht="72.599999999999994">
      <c r="A73" s="76">
        <v>63</v>
      </c>
      <c r="B73" s="76" t="s">
        <v>482</v>
      </c>
      <c r="C73" s="76" t="s">
        <v>483</v>
      </c>
      <c r="D73" s="76">
        <v>7.4</v>
      </c>
      <c r="E73" s="76" t="s">
        <v>490</v>
      </c>
      <c r="F73" s="82"/>
      <c r="G73" s="82"/>
      <c r="H73" s="76" t="s">
        <v>491</v>
      </c>
    </row>
    <row r="74" spans="1:8" ht="87">
      <c r="A74" s="76">
        <v>64</v>
      </c>
      <c r="B74" s="76" t="s">
        <v>482</v>
      </c>
      <c r="C74" s="76" t="s">
        <v>483</v>
      </c>
      <c r="D74" s="76">
        <v>7.5</v>
      </c>
      <c r="E74" s="76" t="s">
        <v>492</v>
      </c>
      <c r="F74" s="82"/>
      <c r="G74" s="82"/>
      <c r="H74" s="76" t="s">
        <v>493</v>
      </c>
    </row>
    <row r="75" spans="1:8" ht="348">
      <c r="A75" s="76">
        <v>65</v>
      </c>
      <c r="B75" s="76" t="s">
        <v>482</v>
      </c>
      <c r="C75" s="76" t="s">
        <v>483</v>
      </c>
      <c r="D75" s="76">
        <v>7.6</v>
      </c>
      <c r="E75" s="76" t="s">
        <v>494</v>
      </c>
      <c r="F75" s="82"/>
      <c r="G75" s="82"/>
      <c r="H75" s="76" t="s">
        <v>495</v>
      </c>
    </row>
    <row r="76" spans="1:8" ht="87">
      <c r="A76" s="76">
        <v>66</v>
      </c>
      <c r="B76" s="76" t="s">
        <v>496</v>
      </c>
      <c r="C76" s="76" t="s">
        <v>497</v>
      </c>
      <c r="D76" s="76">
        <v>8.1</v>
      </c>
      <c r="E76" s="76" t="s">
        <v>498</v>
      </c>
      <c r="F76" s="82"/>
      <c r="G76" s="82"/>
      <c r="H76" s="76" t="s">
        <v>499</v>
      </c>
    </row>
    <row r="77" spans="1:8" ht="101.45">
      <c r="A77" s="76">
        <v>67</v>
      </c>
      <c r="B77" s="76" t="s">
        <v>496</v>
      </c>
      <c r="C77" s="76" t="s">
        <v>497</v>
      </c>
      <c r="D77" s="76">
        <v>8.1999999999999993</v>
      </c>
      <c r="E77" s="76" t="s">
        <v>500</v>
      </c>
      <c r="F77" s="82"/>
      <c r="G77" s="82"/>
      <c r="H77" s="76" t="s">
        <v>501</v>
      </c>
    </row>
    <row r="78" spans="1:8" ht="72.599999999999994">
      <c r="A78" s="76">
        <v>68</v>
      </c>
      <c r="B78" s="76" t="s">
        <v>502</v>
      </c>
      <c r="C78" s="76" t="s">
        <v>503</v>
      </c>
      <c r="D78" s="76">
        <v>1.6</v>
      </c>
      <c r="E78" s="76" t="s">
        <v>504</v>
      </c>
      <c r="F78" s="82"/>
      <c r="G78" s="82"/>
      <c r="H78" s="76" t="s">
        <v>505</v>
      </c>
    </row>
    <row r="79" spans="1:8" ht="116.1">
      <c r="A79" s="76">
        <v>69</v>
      </c>
      <c r="B79" s="76" t="s">
        <v>502</v>
      </c>
      <c r="C79" s="76" t="s">
        <v>503</v>
      </c>
      <c r="D79" s="76">
        <v>1.8</v>
      </c>
      <c r="E79" s="76" t="s">
        <v>506</v>
      </c>
      <c r="F79" s="82"/>
      <c r="G79" s="82"/>
      <c r="H79" s="76" t="s">
        <v>507</v>
      </c>
    </row>
    <row r="80" spans="1:8" ht="43.5">
      <c r="A80" s="76">
        <v>70</v>
      </c>
      <c r="B80" s="76" t="s">
        <v>502</v>
      </c>
      <c r="C80" s="76" t="s">
        <v>503</v>
      </c>
      <c r="D80" s="76">
        <v>1.9</v>
      </c>
      <c r="E80" s="76" t="s">
        <v>508</v>
      </c>
      <c r="F80" s="82"/>
      <c r="G80" s="82"/>
      <c r="H80" s="76" t="s">
        <v>509</v>
      </c>
    </row>
    <row r="81" spans="1:8" ht="101.45">
      <c r="A81" s="76">
        <v>71</v>
      </c>
      <c r="B81" s="76" t="s">
        <v>502</v>
      </c>
      <c r="C81" s="76" t="s">
        <v>503</v>
      </c>
      <c r="D81" s="76">
        <v>1.1000000000000001</v>
      </c>
      <c r="E81" s="76" t="s">
        <v>510</v>
      </c>
      <c r="F81" s="82"/>
      <c r="G81" s="82"/>
      <c r="H81" s="76" t="s">
        <v>511</v>
      </c>
    </row>
    <row r="82" spans="1:8" ht="29.1">
      <c r="A82" s="76">
        <v>72</v>
      </c>
      <c r="B82" s="76" t="s">
        <v>502</v>
      </c>
      <c r="C82" s="76" t="s">
        <v>503</v>
      </c>
      <c r="D82" s="76">
        <v>1.1299999999999999</v>
      </c>
      <c r="E82" s="76" t="s">
        <v>512</v>
      </c>
      <c r="F82" s="82"/>
      <c r="G82" s="82"/>
      <c r="H82" s="76" t="s">
        <v>513</v>
      </c>
    </row>
    <row r="83" spans="1:8" ht="101.45">
      <c r="A83" s="76">
        <v>73</v>
      </c>
      <c r="B83" s="76" t="s">
        <v>502</v>
      </c>
      <c r="C83" s="76" t="s">
        <v>503</v>
      </c>
      <c r="D83" s="76">
        <v>1.1399999999999999</v>
      </c>
      <c r="E83" s="76" t="s">
        <v>514</v>
      </c>
      <c r="F83" s="82"/>
      <c r="G83" s="82"/>
      <c r="H83" s="76" t="s">
        <v>515</v>
      </c>
    </row>
    <row r="84" spans="1:8" ht="57.95">
      <c r="A84" s="76">
        <v>74</v>
      </c>
      <c r="B84" s="76" t="s">
        <v>502</v>
      </c>
      <c r="C84" s="76" t="s">
        <v>503</v>
      </c>
      <c r="D84" s="76">
        <v>1.1499999999999999</v>
      </c>
      <c r="E84" s="76" t="s">
        <v>516</v>
      </c>
      <c r="F84" s="82"/>
      <c r="G84" s="82"/>
      <c r="H84" s="76" t="s">
        <v>517</v>
      </c>
    </row>
    <row r="85" spans="1:8" ht="72.599999999999994">
      <c r="A85" s="76">
        <v>75</v>
      </c>
      <c r="B85" s="76" t="s">
        <v>502</v>
      </c>
      <c r="C85" s="76" t="s">
        <v>503</v>
      </c>
      <c r="D85" s="76">
        <v>1.1599999999999999</v>
      </c>
      <c r="E85" s="76" t="s">
        <v>518</v>
      </c>
      <c r="F85" s="82"/>
      <c r="G85" s="82"/>
      <c r="H85" s="76" t="s">
        <v>519</v>
      </c>
    </row>
    <row r="86" spans="1:8" ht="57.95">
      <c r="A86" s="76">
        <v>76</v>
      </c>
      <c r="B86" s="76" t="s">
        <v>520</v>
      </c>
      <c r="C86" s="76" t="s">
        <v>521</v>
      </c>
      <c r="D86" s="76">
        <v>4.0999999999999996</v>
      </c>
      <c r="E86" s="76" t="s">
        <v>522</v>
      </c>
      <c r="F86" s="82"/>
      <c r="G86" s="82"/>
      <c r="H86" s="76" t="s">
        <v>523</v>
      </c>
    </row>
    <row r="87" spans="1:8" ht="43.5">
      <c r="A87" s="76">
        <v>77</v>
      </c>
      <c r="B87" s="76" t="s">
        <v>520</v>
      </c>
      <c r="C87" s="76" t="s">
        <v>521</v>
      </c>
      <c r="D87" s="76">
        <v>4.2</v>
      </c>
      <c r="E87" s="76" t="s">
        <v>524</v>
      </c>
      <c r="F87" s="82"/>
      <c r="G87" s="82"/>
      <c r="H87" s="76" t="s">
        <v>525</v>
      </c>
    </row>
    <row r="88" spans="1:8" ht="57.95">
      <c r="A88" s="76">
        <v>78</v>
      </c>
      <c r="B88" s="76" t="s">
        <v>526</v>
      </c>
      <c r="C88" s="76" t="s">
        <v>527</v>
      </c>
      <c r="D88" s="76">
        <v>5.0999999999999996</v>
      </c>
      <c r="E88" s="76" t="s">
        <v>528</v>
      </c>
      <c r="F88" s="82"/>
      <c r="G88" s="82"/>
      <c r="H88" s="76" t="s">
        <v>529</v>
      </c>
    </row>
    <row r="89" spans="1:8" ht="57.95">
      <c r="A89" s="76">
        <v>79</v>
      </c>
      <c r="B89" s="76" t="s">
        <v>526</v>
      </c>
      <c r="C89" s="76" t="s">
        <v>527</v>
      </c>
      <c r="D89" s="76">
        <v>5.2</v>
      </c>
      <c r="E89" s="76" t="s">
        <v>530</v>
      </c>
      <c r="F89" s="82"/>
      <c r="G89" s="82"/>
      <c r="H89" s="76" t="s">
        <v>531</v>
      </c>
    </row>
    <row r="90" spans="1:8" ht="29.1">
      <c r="A90" s="76">
        <v>80</v>
      </c>
      <c r="B90" s="76" t="s">
        <v>526</v>
      </c>
      <c r="C90" s="76" t="s">
        <v>527</v>
      </c>
      <c r="D90" s="76">
        <v>5.3</v>
      </c>
      <c r="E90" s="76" t="s">
        <v>532</v>
      </c>
      <c r="F90" s="82"/>
      <c r="G90" s="82"/>
      <c r="H90" s="76" t="s">
        <v>533</v>
      </c>
    </row>
    <row r="91" spans="1:8" ht="57.95">
      <c r="A91" s="76">
        <v>81</v>
      </c>
      <c r="B91" s="76" t="s">
        <v>526</v>
      </c>
      <c r="C91" s="76" t="s">
        <v>527</v>
      </c>
      <c r="D91" s="76">
        <v>5.5</v>
      </c>
      <c r="E91" s="76" t="s">
        <v>534</v>
      </c>
      <c r="F91" s="82"/>
      <c r="G91" s="82"/>
      <c r="H91" s="76" t="s">
        <v>535</v>
      </c>
    </row>
    <row r="92" spans="1:8" ht="72.599999999999994">
      <c r="A92" s="76">
        <v>82</v>
      </c>
      <c r="B92" s="76" t="s">
        <v>526</v>
      </c>
      <c r="C92" s="76" t="s">
        <v>527</v>
      </c>
      <c r="D92" s="76">
        <v>5.6</v>
      </c>
      <c r="E92" s="76" t="s">
        <v>536</v>
      </c>
      <c r="F92" s="82"/>
      <c r="G92" s="82"/>
      <c r="H92" s="76" t="s">
        <v>537</v>
      </c>
    </row>
    <row r="93" spans="1:8" ht="72.599999999999994">
      <c r="A93" s="76">
        <v>83</v>
      </c>
      <c r="B93" s="76" t="s">
        <v>538</v>
      </c>
      <c r="C93" s="76" t="s">
        <v>539</v>
      </c>
      <c r="D93" s="76">
        <v>6.11</v>
      </c>
      <c r="E93" s="76" t="s">
        <v>540</v>
      </c>
      <c r="F93" s="82"/>
      <c r="G93" s="82"/>
      <c r="H93" s="76" t="s">
        <v>541</v>
      </c>
    </row>
  </sheetData>
  <sheetProtection algorithmName="SHA-512" hashValue="picggTWZL+0lemMSfWg7rP3DbfczlmzBFjAGeIsAJ3r/J2MaupTG745KILKZcDTS70Nelpm6IHCiK8m9llbKZw==" saltValue="5sgvoHj92MvSngjRh7eUdg==" spinCount="100000" sheet="1" objects="1" scenarios="1"/>
  <mergeCells count="8">
    <mergeCell ref="A5:B5"/>
    <mergeCell ref="C5:E5"/>
    <mergeCell ref="A1:E1"/>
    <mergeCell ref="A2:E2"/>
    <mergeCell ref="A3:B3"/>
    <mergeCell ref="C3:E3"/>
    <mergeCell ref="A4:B4"/>
    <mergeCell ref="C4:E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0018E-C9D2-4F1A-BA8A-362A813DD6AD}">
  <dimension ref="A1:E137"/>
  <sheetViews>
    <sheetView workbookViewId="0">
      <selection activeCell="C11" sqref="C11"/>
    </sheetView>
  </sheetViews>
  <sheetFormatPr defaultRowHeight="14.45"/>
  <cols>
    <col min="1" max="1" width="31.85546875" customWidth="1"/>
    <col min="2" max="2" width="26.7109375" customWidth="1"/>
    <col min="3" max="3" width="16.42578125" customWidth="1"/>
    <col min="4" max="5" width="9.140625" style="14"/>
  </cols>
  <sheetData>
    <row r="1" spans="1:3">
      <c r="A1" s="10" t="s">
        <v>542</v>
      </c>
      <c r="B1" s="57" t="str">
        <f>'Asset Info'!B1</f>
        <v>Tipar-ID</v>
      </c>
    </row>
    <row r="2" spans="1:3">
      <c r="A2" s="10" t="s">
        <v>543</v>
      </c>
      <c r="B2" s="11" t="str">
        <f ca="1">IF('Asset Info'!B11="No",IF(COUNTIF(C11:C137,"Not Approved")&gt;0,"Not Cleared","Cleared"),"Not Cleared")</f>
        <v>Not Cleared</v>
      </c>
    </row>
    <row r="3" spans="1:3">
      <c r="A3" s="10" t="s">
        <v>544</v>
      </c>
      <c r="B3" s="12"/>
    </row>
    <row r="4" spans="1:3">
      <c r="A4" s="10" t="s">
        <v>545</v>
      </c>
      <c r="B4" s="13"/>
    </row>
    <row r="5" spans="1:3">
      <c r="A5" s="14"/>
      <c r="B5" s="14"/>
    </row>
    <row r="6" spans="1:3">
      <c r="A6" s="15" t="s">
        <v>546</v>
      </c>
      <c r="B6" s="57">
        <f ca="1">SUM(B7:B8)</f>
        <v>127</v>
      </c>
    </row>
    <row r="7" spans="1:3">
      <c r="A7" s="15" t="s">
        <v>547</v>
      </c>
      <c r="B7" s="57">
        <f ca="1">COUNTIF(C11:C137,"Approved")</f>
        <v>14</v>
      </c>
    </row>
    <row r="8" spans="1:3">
      <c r="A8" s="15" t="s">
        <v>548</v>
      </c>
      <c r="B8" s="57">
        <f ca="1">COUNTIF(C11:C137,"Not Approved")</f>
        <v>113</v>
      </c>
    </row>
    <row r="10" spans="1:3">
      <c r="A10" s="16" t="s">
        <v>549</v>
      </c>
      <c r="B10" s="16" t="s">
        <v>550</v>
      </c>
      <c r="C10" s="16" t="s">
        <v>551</v>
      </c>
    </row>
    <row r="11" spans="1:3" ht="27" customHeight="1">
      <c r="A11" s="109" t="s">
        <v>30</v>
      </c>
      <c r="B11" s="113" t="s">
        <v>552</v>
      </c>
      <c r="C11" s="58" t="str">
        <f ca="1">IF(COUNTIF(Checklist!J3:'Checklist'!J5,"Y")&gt;0,"Approved","Not Approved")</f>
        <v>Not Approved</v>
      </c>
    </row>
    <row r="12" spans="1:3" ht="26.1">
      <c r="A12" s="110"/>
      <c r="B12" s="113" t="s">
        <v>553</v>
      </c>
      <c r="C12" s="58" t="str">
        <f>IF(Checklist!J9="Y","Approved","Not Approved")</f>
        <v>Not Approved</v>
      </c>
    </row>
    <row r="13" spans="1:3">
      <c r="A13" s="110"/>
      <c r="B13" s="113" t="s">
        <v>51</v>
      </c>
      <c r="C13" s="58" t="str">
        <f>IF(Checklist!J11="Y","Approved","Not Approved")</f>
        <v>Not Approved</v>
      </c>
    </row>
    <row r="14" spans="1:3">
      <c r="A14" s="110"/>
      <c r="B14" s="113" t="s">
        <v>53</v>
      </c>
      <c r="C14" s="58" t="str">
        <f>IF(Checklist!J13="Y","Approved","Not Approved")</f>
        <v>Not Approved</v>
      </c>
    </row>
    <row r="15" spans="1:3">
      <c r="A15" s="110"/>
      <c r="B15" s="113" t="s">
        <v>55</v>
      </c>
      <c r="C15" s="58" t="str">
        <f>IF(Checklist!J15="Y","Approved","Not Approved")</f>
        <v>Not Approved</v>
      </c>
    </row>
    <row r="16" spans="1:3" ht="26.1">
      <c r="A16" s="110"/>
      <c r="B16" s="113" t="s">
        <v>58</v>
      </c>
      <c r="C16" s="58" t="str">
        <f>IF(Checklist!J18="Y","Approved","Not Approved")</f>
        <v>Not Approved</v>
      </c>
    </row>
    <row r="17" spans="1:3" ht="26.1">
      <c r="A17" s="110"/>
      <c r="B17" s="113" t="s">
        <v>60</v>
      </c>
      <c r="C17" s="58" t="str">
        <f>IF(Checklist!J20="Y","Approved","Not Approved")</f>
        <v>Not Approved</v>
      </c>
    </row>
    <row r="18" spans="1:3">
      <c r="A18" s="110"/>
      <c r="B18" s="113" t="s">
        <v>62</v>
      </c>
      <c r="C18" s="58" t="str">
        <f ca="1">IF(COUNTIF(Checklist!J22:'Checklist'!J27,"Y")&gt;0,"Approved","Not Approved")</f>
        <v>Not Approved</v>
      </c>
    </row>
    <row r="19" spans="1:3" ht="26.1">
      <c r="A19" s="110"/>
      <c r="B19" s="113" t="s">
        <v>68</v>
      </c>
      <c r="C19" s="58" t="str">
        <f>IF(Checklist!J28="Y","Approved","Not Approved")</f>
        <v>Not Approved</v>
      </c>
    </row>
    <row r="20" spans="1:3">
      <c r="A20" s="110"/>
      <c r="B20" s="113" t="s">
        <v>70</v>
      </c>
      <c r="C20" s="58" t="str">
        <f>IF(Checklist!J30="Y","Approved","Not Approved")</f>
        <v>Not Approved</v>
      </c>
    </row>
    <row r="21" spans="1:3" ht="26.1">
      <c r="A21" s="110"/>
      <c r="B21" s="113" t="s">
        <v>554</v>
      </c>
      <c r="C21" s="58" t="str">
        <f>IF(Checklist!J34="Y","Approved","Not Approved")</f>
        <v>Not Approved</v>
      </c>
    </row>
    <row r="22" spans="1:3" ht="26.1">
      <c r="A22" s="111"/>
      <c r="B22" s="113" t="s">
        <v>78</v>
      </c>
      <c r="C22" s="58" t="str">
        <f>IF(Checklist!J37="Y","Approved","Not Approved")</f>
        <v>Not Approved</v>
      </c>
    </row>
    <row r="23" spans="1:3" ht="26.1">
      <c r="A23" s="109" t="s">
        <v>555</v>
      </c>
      <c r="B23" s="113" t="s">
        <v>556</v>
      </c>
      <c r="C23" s="58" t="str">
        <f>IF(Checklist!J40="Y","Approved","Not Approved")</f>
        <v>Not Approved</v>
      </c>
    </row>
    <row r="24" spans="1:3" ht="51.95">
      <c r="A24" s="110"/>
      <c r="B24" s="113" t="s">
        <v>557</v>
      </c>
      <c r="C24" s="58" t="str">
        <f>IF(Checklist!J41="Y","Approved","Not Approved")</f>
        <v>Not Approved</v>
      </c>
    </row>
    <row r="25" spans="1:3">
      <c r="A25" s="110"/>
      <c r="B25" s="113" t="s">
        <v>558</v>
      </c>
      <c r="C25" s="58" t="str">
        <f>IF(Checklist!J42="Y","Approved","Not Approved")</f>
        <v>Not Approved</v>
      </c>
    </row>
    <row r="26" spans="1:3" ht="26.1">
      <c r="A26" s="110"/>
      <c r="B26" s="113" t="s">
        <v>559</v>
      </c>
      <c r="C26" s="58" t="str">
        <f>IF(Checklist!J43="Y","Approved","Not Approved")</f>
        <v>Not Approved</v>
      </c>
    </row>
    <row r="27" spans="1:3" ht="39">
      <c r="A27" s="110"/>
      <c r="B27" s="113" t="s">
        <v>560</v>
      </c>
      <c r="C27" s="58" t="str">
        <f>IF(Checklist!J44="Y","Approved","Not Approved")</f>
        <v>Not Approved</v>
      </c>
    </row>
    <row r="28" spans="1:3" ht="26.1">
      <c r="A28" s="110"/>
      <c r="B28" s="113" t="s">
        <v>92</v>
      </c>
      <c r="C28" s="58" t="str">
        <f>IF(Checklist!J46="Y","Approved","Not Approved")</f>
        <v>Not Approved</v>
      </c>
    </row>
    <row r="29" spans="1:3" ht="26.1">
      <c r="A29" s="110"/>
      <c r="B29" s="113" t="s">
        <v>94</v>
      </c>
      <c r="C29" s="58" t="str">
        <f>IF(Checklist!J47="Y","Approved","Not Approved")</f>
        <v>Not Approved</v>
      </c>
    </row>
    <row r="30" spans="1:3">
      <c r="A30" s="110"/>
      <c r="B30" s="113" t="s">
        <v>97</v>
      </c>
      <c r="C30" s="58" t="str">
        <f>IF(Checklist!J49="Y","Approved","Not Approved")</f>
        <v>Not Approved</v>
      </c>
    </row>
    <row r="31" spans="1:3" ht="39">
      <c r="A31" s="110"/>
      <c r="B31" s="113" t="s">
        <v>99</v>
      </c>
      <c r="C31" s="58" t="str">
        <f ca="1">IF(COUNTIF(Checklist!J50:'Checklist'!J52,"Y")&gt;0,"Approved","Not Approved")</f>
        <v>Not Approved</v>
      </c>
    </row>
    <row r="32" spans="1:3" ht="26.1">
      <c r="A32" s="110"/>
      <c r="B32" s="113" t="s">
        <v>103</v>
      </c>
      <c r="C32" s="58" t="str">
        <f>IF(Checklist!J54="Y","Approved","Not Approved")</f>
        <v>Not Approved</v>
      </c>
    </row>
    <row r="33" spans="1:3">
      <c r="A33" s="110"/>
      <c r="B33" s="113" t="s">
        <v>106</v>
      </c>
      <c r="C33" s="58" t="str">
        <f>IF(Checklist!J56="Y","Approved","Not Approved")</f>
        <v>Not Approved</v>
      </c>
    </row>
    <row r="34" spans="1:3" ht="26.1">
      <c r="A34" s="110"/>
      <c r="B34" s="113" t="s">
        <v>108</v>
      </c>
      <c r="C34" s="58" t="str">
        <f>IF(Checklist!J57="Y","Approved","Not Approved")</f>
        <v>Not Approved</v>
      </c>
    </row>
    <row r="35" spans="1:3" ht="26.1">
      <c r="A35" s="112" t="s">
        <v>561</v>
      </c>
      <c r="B35" s="114" t="s">
        <v>111</v>
      </c>
      <c r="C35" s="58" t="str">
        <f>IF(Checklist!J59="Y","Approved","Not Approved")</f>
        <v>Not Approved</v>
      </c>
    </row>
    <row r="36" spans="1:3" ht="26.1">
      <c r="A36" s="112"/>
      <c r="B36" s="114" t="s">
        <v>113</v>
      </c>
      <c r="C36" s="58" t="str">
        <f>IF(Checklist!J60="Y","Approved","Not Approved")</f>
        <v>Not Approved</v>
      </c>
    </row>
    <row r="37" spans="1:3" ht="26.1">
      <c r="A37" s="112"/>
      <c r="B37" s="114" t="s">
        <v>115</v>
      </c>
      <c r="C37" s="58" t="str">
        <f>IF(Checklist!J61="Y","Approved","Not Approved")</f>
        <v>Not Approved</v>
      </c>
    </row>
    <row r="38" spans="1:3" ht="26.1">
      <c r="A38" s="112"/>
      <c r="B38" s="114" t="s">
        <v>118</v>
      </c>
      <c r="C38" s="58" t="str">
        <f>IF(Checklist!J63="Y","Approved","Not Approved")</f>
        <v>Not Approved</v>
      </c>
    </row>
    <row r="39" spans="1:3" ht="26.1">
      <c r="A39" s="112"/>
      <c r="B39" s="114" t="s">
        <v>120</v>
      </c>
      <c r="C39" s="58" t="str">
        <f>IF(Checklist!J65="Y","Approved","Not Approved")</f>
        <v>Not Approved</v>
      </c>
    </row>
    <row r="40" spans="1:3" ht="39">
      <c r="A40" s="112"/>
      <c r="B40" s="114" t="s">
        <v>122</v>
      </c>
      <c r="C40" s="58" t="str">
        <f>IF(Checklist!J66="Y","Approved","Not Approved")</f>
        <v>Not Approved</v>
      </c>
    </row>
    <row r="41" spans="1:3" ht="26.1">
      <c r="A41" s="112"/>
      <c r="B41" s="114" t="s">
        <v>124</v>
      </c>
      <c r="C41" s="58" t="str">
        <f>IF(Checklist!J67="Y","Approved","Not Approved")</f>
        <v>Not Approved</v>
      </c>
    </row>
    <row r="42" spans="1:3" ht="26.1">
      <c r="A42" s="112"/>
      <c r="B42" s="114" t="s">
        <v>126</v>
      </c>
      <c r="C42" s="58" t="str">
        <f>IF(Checklist!J68="Y","Approved","Not Approved")</f>
        <v>Approved</v>
      </c>
    </row>
    <row r="43" spans="1:3" ht="26.1">
      <c r="A43" s="112"/>
      <c r="B43" s="114" t="s">
        <v>128</v>
      </c>
      <c r="C43" s="58" t="str">
        <f>IF(Checklist!J69="Y","Approved","Not Approved")</f>
        <v>Not Approved</v>
      </c>
    </row>
    <row r="44" spans="1:3" ht="26.1">
      <c r="A44" s="112"/>
      <c r="B44" s="114" t="s">
        <v>131</v>
      </c>
      <c r="C44" s="58" t="str">
        <f>IF(Checklist!J71="Y","Approved","Not Approved")</f>
        <v>Not Approved</v>
      </c>
    </row>
    <row r="45" spans="1:3" ht="26.1">
      <c r="A45" s="112"/>
      <c r="B45" s="114" t="s">
        <v>133</v>
      </c>
      <c r="C45" s="58" t="str">
        <f>IF(Checklist!J72="Y","Approved","Not Approved")</f>
        <v>Not Approved</v>
      </c>
    </row>
    <row r="46" spans="1:3" ht="26.1">
      <c r="A46" s="112"/>
      <c r="B46" s="114" t="s">
        <v>135</v>
      </c>
      <c r="C46" s="58" t="str">
        <f>IF(Checklist!J73="Y","Approved","Not Approved")</f>
        <v>Approved</v>
      </c>
    </row>
    <row r="47" spans="1:3" ht="26.1">
      <c r="A47" s="110" t="s">
        <v>562</v>
      </c>
      <c r="B47" s="113" t="s">
        <v>138</v>
      </c>
      <c r="C47" s="58" t="str">
        <f>IF(Checklist!J75="Y","Approved","Not Approved")</f>
        <v>Not Approved</v>
      </c>
    </row>
    <row r="48" spans="1:3">
      <c r="A48" s="110"/>
      <c r="B48" s="113" t="s">
        <v>140</v>
      </c>
      <c r="C48" s="58" t="str">
        <f>IF(Checklist!J76="Y","Approved","Not Approved")</f>
        <v>Not Approved</v>
      </c>
    </row>
    <row r="49" spans="1:3">
      <c r="A49" s="110"/>
      <c r="B49" s="113" t="s">
        <v>142</v>
      </c>
      <c r="C49" s="58" t="str">
        <f>IF(Checklist!J77="Y","Approved","Not Approved")</f>
        <v>Not Approved</v>
      </c>
    </row>
    <row r="50" spans="1:3" ht="26.1">
      <c r="A50" s="110"/>
      <c r="B50" s="113" t="s">
        <v>144</v>
      </c>
      <c r="C50" s="58" t="str">
        <f>IF(Checklist!J78="Y","Approved","Not Approved")</f>
        <v>Not Approved</v>
      </c>
    </row>
    <row r="51" spans="1:3" ht="26.1">
      <c r="A51" s="110"/>
      <c r="B51" s="113" t="s">
        <v>146</v>
      </c>
      <c r="C51" s="58" t="str">
        <f>IF(Checklist!J79="Y","Approved","Not Approved")</f>
        <v>Not Approved</v>
      </c>
    </row>
    <row r="52" spans="1:3" ht="26.1">
      <c r="A52" s="110"/>
      <c r="B52" s="113" t="s">
        <v>149</v>
      </c>
      <c r="C52" s="58" t="str">
        <f>IF(Checklist!J81="Y","Approved","Not Approved")</f>
        <v>Not Approved</v>
      </c>
    </row>
    <row r="53" spans="1:3" ht="26.1">
      <c r="A53" s="110"/>
      <c r="B53" s="113" t="s">
        <v>151</v>
      </c>
      <c r="C53" s="58" t="str">
        <f>IF(Checklist!J82="Y","Approved","Not Approved")</f>
        <v>Not Approved</v>
      </c>
    </row>
    <row r="54" spans="1:3" ht="26.1">
      <c r="A54" s="111"/>
      <c r="B54" s="113" t="s">
        <v>153</v>
      </c>
      <c r="C54" s="58" t="str">
        <f>IF(Checklist!J84="Y","Approved","Not Approved")</f>
        <v>Not Approved</v>
      </c>
    </row>
    <row r="55" spans="1:3" ht="26.1">
      <c r="A55" s="109" t="s">
        <v>155</v>
      </c>
      <c r="B55" s="113" t="s">
        <v>156</v>
      </c>
      <c r="C55" s="58" t="str">
        <f>IF(Checklist!J86="Y","Approved","Not Approved")</f>
        <v>Not Approved</v>
      </c>
    </row>
    <row r="56" spans="1:3" ht="26.1">
      <c r="A56" s="110"/>
      <c r="B56" s="113" t="s">
        <v>161</v>
      </c>
      <c r="C56" s="58" t="str">
        <f>IF(Checklist!J89="Y","Approved","Not Approved")</f>
        <v>Not Approved</v>
      </c>
    </row>
    <row r="57" spans="1:3" ht="39">
      <c r="A57" s="110"/>
      <c r="B57" s="113" t="s">
        <v>163</v>
      </c>
      <c r="C57" s="58" t="str">
        <f>IF(Checklist!J90="Y","Approved","Not Approved")</f>
        <v>Not Approved</v>
      </c>
    </row>
    <row r="58" spans="1:3" ht="26.1">
      <c r="A58" s="110"/>
      <c r="B58" s="113" t="s">
        <v>165</v>
      </c>
      <c r="C58" s="58" t="str">
        <f>IF(Checklist!J91="Y","Approved","Not Approved")</f>
        <v>Not Approved</v>
      </c>
    </row>
    <row r="59" spans="1:3" ht="26.1">
      <c r="A59" s="110"/>
      <c r="B59" s="113" t="s">
        <v>170</v>
      </c>
      <c r="C59" s="58" t="str">
        <f>IF(Checklist!J96="Y","Approved","Not Approved")</f>
        <v>Not Approved</v>
      </c>
    </row>
    <row r="60" spans="1:3" ht="39">
      <c r="A60" s="110"/>
      <c r="B60" s="113" t="s">
        <v>172</v>
      </c>
      <c r="C60" s="58" t="str">
        <f>IF(Checklist!J97="Y","Approved","Not Approved")</f>
        <v>Approved</v>
      </c>
    </row>
    <row r="61" spans="1:3" ht="26.1">
      <c r="A61" s="110"/>
      <c r="B61" s="113" t="s">
        <v>174</v>
      </c>
      <c r="C61" s="58" t="str">
        <f>IF(Checklist!J98="Y","Approved","Not Approved")</f>
        <v>Approved</v>
      </c>
    </row>
    <row r="62" spans="1:3" ht="39">
      <c r="A62" s="110"/>
      <c r="B62" s="113" t="s">
        <v>176</v>
      </c>
      <c r="C62" s="58" t="str">
        <f>IF(Checklist!J99="Y","Approved","Not Approved")</f>
        <v>Approved</v>
      </c>
    </row>
    <row r="63" spans="1:3" ht="26.1">
      <c r="A63" s="110"/>
      <c r="B63" s="113" t="s">
        <v>178</v>
      </c>
      <c r="C63" s="58" t="str">
        <f>IF(Checklist!J100="Y","Approved","Not Approved")</f>
        <v>Approved</v>
      </c>
    </row>
    <row r="64" spans="1:3" ht="26.1">
      <c r="A64" s="111"/>
      <c r="B64" s="113" t="s">
        <v>180</v>
      </c>
      <c r="C64" s="58" t="str">
        <f>IF(Checklist!J101="Y","Approved","Not Approved")</f>
        <v>Not Approved</v>
      </c>
    </row>
    <row r="65" spans="1:3">
      <c r="A65" s="110" t="s">
        <v>563</v>
      </c>
      <c r="B65" s="113" t="s">
        <v>183</v>
      </c>
      <c r="C65" s="58" t="str">
        <f>IF(Checklist!J103="Y","Approved","Not Approved")</f>
        <v>Not Approved</v>
      </c>
    </row>
    <row r="66" spans="1:3" ht="26.1">
      <c r="A66" s="110"/>
      <c r="B66" s="113" t="s">
        <v>185</v>
      </c>
      <c r="C66" s="58" t="str">
        <f>IF(Checklist!J104="Y","Approved","Not Approved")</f>
        <v>Not Approved</v>
      </c>
    </row>
    <row r="67" spans="1:3">
      <c r="A67" s="110"/>
      <c r="B67" s="113" t="s">
        <v>187</v>
      </c>
      <c r="C67" s="58" t="str">
        <f>IF(Checklist!J105="Y","Approved","Not Approved")</f>
        <v>Not Approved</v>
      </c>
    </row>
    <row r="68" spans="1:3">
      <c r="A68" s="110"/>
      <c r="B68" s="115" t="s">
        <v>189</v>
      </c>
      <c r="C68" s="58" t="str">
        <f>IF(Checklist!J106="Y","Approved","Not Approved")</f>
        <v>Not Approved</v>
      </c>
    </row>
    <row r="69" spans="1:3">
      <c r="A69" s="110"/>
      <c r="B69" s="113" t="s">
        <v>191</v>
      </c>
      <c r="C69" s="58" t="str">
        <f>IF(Checklist!J107="Y","Approved","Not Approved")</f>
        <v>Not Approved</v>
      </c>
    </row>
    <row r="70" spans="1:3" ht="26.1">
      <c r="A70" s="110"/>
      <c r="B70" s="113" t="s">
        <v>193</v>
      </c>
      <c r="C70" s="58" t="str">
        <f>IF(Checklist!J108="Y","Approved","Not Approved")</f>
        <v>Not Approved</v>
      </c>
    </row>
    <row r="71" spans="1:3">
      <c r="A71" s="110"/>
      <c r="B71" s="113" t="s">
        <v>195</v>
      </c>
      <c r="C71" s="58" t="str">
        <f>IF(Checklist!J109="Y","Approved","Not Approved")</f>
        <v>Not Approved</v>
      </c>
    </row>
    <row r="72" spans="1:3" ht="26.1">
      <c r="A72" s="110"/>
      <c r="B72" s="113" t="s">
        <v>197</v>
      </c>
      <c r="C72" s="58" t="str">
        <f>IF(Checklist!J110="Y","Approved","Not Approved")</f>
        <v>Not Approved</v>
      </c>
    </row>
    <row r="73" spans="1:3" ht="26.1">
      <c r="A73" s="110"/>
      <c r="B73" s="113" t="s">
        <v>199</v>
      </c>
      <c r="C73" s="58" t="str">
        <f>IF(Checklist!J111="Y","Approved","Not Approved")</f>
        <v>Not Approved</v>
      </c>
    </row>
    <row r="74" spans="1:3" ht="26.1">
      <c r="A74" s="111"/>
      <c r="B74" s="113" t="s">
        <v>201</v>
      </c>
      <c r="C74" s="58" t="str">
        <f>IF(Checklist!J112="Y","Approved","Not Approved")</f>
        <v>Approved</v>
      </c>
    </row>
    <row r="75" spans="1:3" ht="48" customHeight="1">
      <c r="A75" s="109" t="s">
        <v>564</v>
      </c>
      <c r="B75" s="113" t="s">
        <v>204</v>
      </c>
      <c r="C75" s="58" t="str">
        <f ca="1">IF(COUNTIF(Checklist!J114:'Checklist'!J116,"Y")&gt;0,"Approved","Not Approved")</f>
        <v>Not Approved</v>
      </c>
    </row>
    <row r="76" spans="1:3" ht="48" customHeight="1">
      <c r="A76" s="110"/>
      <c r="B76" s="113" t="s">
        <v>565</v>
      </c>
      <c r="C76" s="58" t="str">
        <f>IF(Checklist!J117="Y","Approved","Not Approved")</f>
        <v>Approved</v>
      </c>
    </row>
    <row r="77" spans="1:3" ht="26.1">
      <c r="A77" s="110"/>
      <c r="B77" s="113" t="s">
        <v>210</v>
      </c>
      <c r="C77" s="58" t="str">
        <f>IF(Checklist!J118="Y","Approved","Not Approved")</f>
        <v>Not Approved</v>
      </c>
    </row>
    <row r="78" spans="1:3" ht="26.1">
      <c r="A78" s="110"/>
      <c r="B78" s="113" t="s">
        <v>212</v>
      </c>
      <c r="C78" s="58" t="str">
        <f>IF(Checklist!J119="Y","Approved","Not Approved")</f>
        <v>Not Approved</v>
      </c>
    </row>
    <row r="79" spans="1:3" ht="26.1">
      <c r="A79" s="110"/>
      <c r="B79" s="113" t="s">
        <v>214</v>
      </c>
      <c r="C79" s="58" t="str">
        <f>IF(Checklist!J120="Y","Approved","Not Approved")</f>
        <v>Not Approved</v>
      </c>
    </row>
    <row r="80" spans="1:3" ht="39">
      <c r="A80" s="110"/>
      <c r="B80" s="113" t="s">
        <v>216</v>
      </c>
      <c r="C80" s="58" t="str">
        <f>IF(Checklist!J121="Y","Approved","Not Approved")</f>
        <v>Not Approved</v>
      </c>
    </row>
    <row r="81" spans="1:3" ht="26.1">
      <c r="A81" s="110"/>
      <c r="B81" s="113" t="s">
        <v>218</v>
      </c>
      <c r="C81" s="58" t="str">
        <f>IF(Checklist!J122="Y","Approved","Not Approved")</f>
        <v>Not Approved</v>
      </c>
    </row>
    <row r="82" spans="1:3" ht="39">
      <c r="A82" s="110"/>
      <c r="B82" s="113" t="s">
        <v>220</v>
      </c>
      <c r="C82" s="58" t="str">
        <f>IF(Checklist!J123="Y","Approved","Not Approved")</f>
        <v>Not Approved</v>
      </c>
    </row>
    <row r="83" spans="1:3" ht="26.1">
      <c r="A83" s="111"/>
      <c r="B83" s="113" t="s">
        <v>222</v>
      </c>
      <c r="C83" s="58" t="str">
        <f>IF(Checklist!J124="Y","Approved","Not Approved")</f>
        <v>Not Approved</v>
      </c>
    </row>
    <row r="84" spans="1:3">
      <c r="A84" s="109" t="s">
        <v>566</v>
      </c>
      <c r="B84" s="113" t="s">
        <v>225</v>
      </c>
      <c r="C84" s="58" t="str">
        <f>IF(Checklist!J126="Y","Approved","Not Approved")</f>
        <v>Not Approved</v>
      </c>
    </row>
    <row r="85" spans="1:3" ht="26.1">
      <c r="A85" s="110"/>
      <c r="B85" s="113" t="s">
        <v>227</v>
      </c>
      <c r="C85" s="58" t="str">
        <f>IF(Checklist!J127="Y","Approved","Not Approved")</f>
        <v>Not Approved</v>
      </c>
    </row>
    <row r="86" spans="1:3">
      <c r="A86" s="110"/>
      <c r="B86" s="113" t="s">
        <v>229</v>
      </c>
      <c r="C86" s="58" t="str">
        <f ca="1">IF(COUNTIF(Checklist!J128:'Checklist'!J129,"Y"),"Approved","Not Approved")</f>
        <v>Not Approved</v>
      </c>
    </row>
    <row r="87" spans="1:3" ht="26.1">
      <c r="A87" s="110"/>
      <c r="B87" s="113" t="s">
        <v>232</v>
      </c>
      <c r="C87" s="58" t="str">
        <f>IF(Checklist!J130="Y","Approved","Not Approved")</f>
        <v>Not Approved</v>
      </c>
    </row>
    <row r="88" spans="1:3" ht="26.1">
      <c r="A88" s="110"/>
      <c r="B88" s="113" t="s">
        <v>234</v>
      </c>
      <c r="C88" s="58" t="str">
        <f>IF(Checklist!J131="Y","Approved","Not Approved")</f>
        <v>Not Approved</v>
      </c>
    </row>
    <row r="89" spans="1:3">
      <c r="A89" s="110"/>
      <c r="B89" s="113" t="s">
        <v>236</v>
      </c>
      <c r="C89" s="58" t="str">
        <f>IF(Checklist!J132="Y","Approved","Not Approved")</f>
        <v>Not Approved</v>
      </c>
    </row>
    <row r="90" spans="1:3" ht="26.1">
      <c r="A90" s="110"/>
      <c r="B90" s="113" t="s">
        <v>238</v>
      </c>
      <c r="C90" s="58" t="str">
        <f ca="1">IF(COUNTIF(Checklist!J133:'Checklist'!J134,"Y")&gt;0,"Approved","Not Approved")</f>
        <v>Not Approved</v>
      </c>
    </row>
    <row r="91" spans="1:3" ht="26.1">
      <c r="A91" s="110"/>
      <c r="B91" s="113" t="s">
        <v>241</v>
      </c>
      <c r="C91" s="58" t="str">
        <f>IF(Checklist!J135="Y","Approved","Not Approved")</f>
        <v>Not Approved</v>
      </c>
    </row>
    <row r="92" spans="1:3">
      <c r="A92" s="110"/>
      <c r="B92" s="113" t="s">
        <v>243</v>
      </c>
      <c r="C92" s="58" t="str">
        <f>IF(Checklist!J136="Y","Approved","Not Approved")</f>
        <v>Not Approved</v>
      </c>
    </row>
    <row r="93" spans="1:3" ht="26.1">
      <c r="A93" s="110"/>
      <c r="B93" s="113" t="s">
        <v>245</v>
      </c>
      <c r="C93" s="58" t="str">
        <f>IF(Checklist!J137="Y","Approved","Not Approved")</f>
        <v>Not Approved</v>
      </c>
    </row>
    <row r="94" spans="1:3" ht="26.1">
      <c r="A94" s="111"/>
      <c r="B94" s="113" t="s">
        <v>247</v>
      </c>
      <c r="C94" s="58" t="str">
        <f>IF(Checklist!J138="Y","Approved","Not Approved")</f>
        <v>Approved</v>
      </c>
    </row>
    <row r="95" spans="1:3" ht="33" customHeight="1">
      <c r="A95" s="109" t="s">
        <v>567</v>
      </c>
      <c r="B95" s="113" t="s">
        <v>250</v>
      </c>
      <c r="C95" s="58" t="str">
        <f>IF(Checklist!J140="Y","Approved","Not Approved")</f>
        <v>Not Approved</v>
      </c>
    </row>
    <row r="96" spans="1:3">
      <c r="A96" s="110"/>
      <c r="B96" s="113" t="s">
        <v>252</v>
      </c>
      <c r="C96" s="58" t="str">
        <f>IF(Checklist!J141="Y","Approved","Not Approved")</f>
        <v>Not Approved</v>
      </c>
    </row>
    <row r="97" spans="1:3" ht="26.1">
      <c r="A97" s="110"/>
      <c r="B97" s="113" t="s">
        <v>254</v>
      </c>
      <c r="C97" s="58" t="str">
        <f>IF(Checklist!J142="Y","Approved","Not Approved")</f>
        <v>Not Approved</v>
      </c>
    </row>
    <row r="98" spans="1:3">
      <c r="A98" s="110"/>
      <c r="B98" s="113" t="s">
        <v>256</v>
      </c>
      <c r="C98" s="58" t="str">
        <f>IF(Checklist!J143="Y","Approved","Not Approved")</f>
        <v>Not Approved</v>
      </c>
    </row>
    <row r="99" spans="1:3">
      <c r="A99" s="110"/>
      <c r="B99" s="113" t="s">
        <v>258</v>
      </c>
      <c r="C99" s="58" t="str">
        <f>IF(Checklist!J144="Y","Approved","Not Approved")</f>
        <v>Not Approved</v>
      </c>
    </row>
    <row r="100" spans="1:3" ht="26.1">
      <c r="A100" s="110"/>
      <c r="B100" s="113" t="s">
        <v>568</v>
      </c>
      <c r="C100" s="58" t="str">
        <f>IF(Checklist!J145="Y","Approved","Not Approved")</f>
        <v>Not Approved</v>
      </c>
    </row>
    <row r="101" spans="1:3" ht="26.1">
      <c r="A101" s="110"/>
      <c r="B101" s="113" t="s">
        <v>263</v>
      </c>
      <c r="C101" s="58" t="str">
        <f>IF(Checklist!J146="Y","Approved","Not Approved")</f>
        <v>Not Approved</v>
      </c>
    </row>
    <row r="102" spans="1:3" ht="26.1">
      <c r="A102" s="110"/>
      <c r="B102" s="113" t="s">
        <v>265</v>
      </c>
      <c r="C102" s="58" t="str">
        <f>IF(Checklist!J147="Y","Approved","Not Approved")</f>
        <v>Not Approved</v>
      </c>
    </row>
    <row r="103" spans="1:3" ht="26.1">
      <c r="A103" s="110"/>
      <c r="B103" s="113" t="s">
        <v>267</v>
      </c>
      <c r="C103" s="58" t="str">
        <f>IF(Checklist!J148="Y","Approved","Not Approved")</f>
        <v>Not Approved</v>
      </c>
    </row>
    <row r="104" spans="1:3" ht="26.1">
      <c r="A104" s="110"/>
      <c r="B104" s="113" t="s">
        <v>569</v>
      </c>
      <c r="C104" s="58" t="str">
        <f>IF(Checklist!J149="Y","Approved","Not Approved")</f>
        <v>Not Approved</v>
      </c>
    </row>
    <row r="105" spans="1:3" ht="26.1">
      <c r="A105" s="110"/>
      <c r="B105" s="113" t="s">
        <v>271</v>
      </c>
      <c r="C105" s="58" t="str">
        <f>IF(Checklist!J150="Y","Approved","Not Approved")</f>
        <v>Not Approved</v>
      </c>
    </row>
    <row r="106" spans="1:3">
      <c r="A106" s="110"/>
      <c r="B106" s="113" t="s">
        <v>570</v>
      </c>
      <c r="C106" s="58" t="str">
        <f>IF(Checklist!J152="Y","Approved","Not Approved")</f>
        <v>Not Approved</v>
      </c>
    </row>
    <row r="107" spans="1:3">
      <c r="A107" s="110"/>
      <c r="B107" s="113" t="s">
        <v>571</v>
      </c>
      <c r="C107" s="58" t="str">
        <f>IF(Checklist!J153="Y","Approved","Not Approved")</f>
        <v>Approved</v>
      </c>
    </row>
    <row r="108" spans="1:3" ht="26.1">
      <c r="A108" s="110"/>
      <c r="B108" s="113" t="s">
        <v>572</v>
      </c>
      <c r="C108" s="58" t="str">
        <f>IF(Checklist!J154="Y","Approved","Not Approved")</f>
        <v>Not Approved</v>
      </c>
    </row>
    <row r="109" spans="1:3" ht="26.1">
      <c r="A109" s="111"/>
      <c r="B109" s="113" t="s">
        <v>279</v>
      </c>
      <c r="C109" s="58" t="str">
        <f>IF(Checklist!J155="Y","Approved","Not Approved")</f>
        <v>Not Approved</v>
      </c>
    </row>
    <row r="110" spans="1:3" ht="26.1">
      <c r="A110" s="109" t="s">
        <v>281</v>
      </c>
      <c r="B110" s="113" t="s">
        <v>573</v>
      </c>
      <c r="C110" s="58" t="str">
        <f>IF(Checklist!J157="Y","Approved","Not Approved")</f>
        <v>Not Approved</v>
      </c>
    </row>
    <row r="111" spans="1:3">
      <c r="A111" s="110"/>
      <c r="B111" s="113" t="s">
        <v>285</v>
      </c>
      <c r="C111" s="58" t="str">
        <f>IF(Checklist!J160="Y","Approved","Not Approved")</f>
        <v>Not Approved</v>
      </c>
    </row>
    <row r="112" spans="1:3" ht="26.1">
      <c r="A112" s="110"/>
      <c r="B112" s="113" t="s">
        <v>574</v>
      </c>
      <c r="C112" s="58" t="str">
        <f>IF(Checklist!J161="Y","Approved","Not Approved")</f>
        <v>Not Approved</v>
      </c>
    </row>
    <row r="113" spans="1:3" ht="26.1">
      <c r="A113" s="110"/>
      <c r="B113" s="113" t="s">
        <v>291</v>
      </c>
      <c r="C113" s="58" t="str">
        <f>IF(Checklist!J164="Y","Approved","Not Approved")</f>
        <v>Approved</v>
      </c>
    </row>
    <row r="114" spans="1:3" ht="78.75" customHeight="1">
      <c r="A114" s="111"/>
      <c r="B114" s="113" t="s">
        <v>293</v>
      </c>
      <c r="C114" s="58" t="str">
        <f>IF(Checklist!J166="Y","Approved","Not Approved")</f>
        <v>Approved</v>
      </c>
    </row>
    <row r="115" spans="1:3" ht="26.1">
      <c r="A115" s="109" t="s">
        <v>575</v>
      </c>
      <c r="B115" s="113" t="s">
        <v>296</v>
      </c>
      <c r="C115" s="58" t="str">
        <f>IF(Checklist!J169="Y","Approved","Not Approved")</f>
        <v>Not Approved</v>
      </c>
    </row>
    <row r="116" spans="1:3" ht="51.95">
      <c r="A116" s="110"/>
      <c r="B116" s="113" t="s">
        <v>298</v>
      </c>
      <c r="C116" s="58" t="str">
        <f>IF(Checklist!J170="Y","Approved","Not Approved")</f>
        <v>Not Approved</v>
      </c>
    </row>
    <row r="117" spans="1:3" ht="26.1">
      <c r="A117" s="110"/>
      <c r="B117" s="113" t="s">
        <v>300</v>
      </c>
      <c r="C117" s="58" t="str">
        <f>IF(Checklist!J171="Y","Approved","Not Approved")</f>
        <v>Not Approved</v>
      </c>
    </row>
    <row r="118" spans="1:3" ht="26.1">
      <c r="A118" s="110"/>
      <c r="B118" s="113" t="s">
        <v>302</v>
      </c>
      <c r="C118" s="58" t="str">
        <f>IF(Checklist!J172="Y","Approved","Not Approved")</f>
        <v>Not Approved</v>
      </c>
    </row>
    <row r="119" spans="1:3">
      <c r="A119" s="110"/>
      <c r="B119" s="113" t="s">
        <v>304</v>
      </c>
      <c r="C119" s="58" t="str">
        <f>IF(Checklist!J173="Y","Approved","Not Approved")</f>
        <v>Not Approved</v>
      </c>
    </row>
    <row r="120" spans="1:3" ht="39">
      <c r="A120" s="110"/>
      <c r="B120" s="113" t="s">
        <v>306</v>
      </c>
      <c r="C120" s="58" t="str">
        <f>IF(Checklist!J174="Y","Approved","Not Approved")</f>
        <v>Not Approved</v>
      </c>
    </row>
    <row r="121" spans="1:3" ht="26.1">
      <c r="A121" s="110"/>
      <c r="B121" s="113" t="s">
        <v>308</v>
      </c>
      <c r="C121" s="58" t="str">
        <f>IF(Checklist!J175="Y","Approved","Not Approved")</f>
        <v>Not Approved</v>
      </c>
    </row>
    <row r="122" spans="1:3" ht="51.95">
      <c r="A122" s="110"/>
      <c r="B122" s="113" t="s">
        <v>310</v>
      </c>
      <c r="C122" s="58" t="str">
        <f>IF(Checklist!J176="Y","Approved","Not Approved")</f>
        <v>Not Approved</v>
      </c>
    </row>
    <row r="123" spans="1:3" ht="26.1">
      <c r="A123" s="111"/>
      <c r="B123" s="113" t="s">
        <v>313</v>
      </c>
      <c r="C123" s="58" t="str">
        <f>IF(Checklist!J178="Y","Approved","Not Approved")</f>
        <v>Not Approved</v>
      </c>
    </row>
    <row r="124" spans="1:3" ht="39">
      <c r="A124" s="109" t="s">
        <v>576</v>
      </c>
      <c r="B124" s="113" t="s">
        <v>577</v>
      </c>
      <c r="C124" s="58" t="str">
        <f>IF(Checklist!J180="Y","Approved","Not Approved")</f>
        <v>Not Approved</v>
      </c>
    </row>
    <row r="125" spans="1:3" ht="26.1">
      <c r="A125" s="110"/>
      <c r="B125" s="113" t="s">
        <v>318</v>
      </c>
      <c r="C125" s="58" t="str">
        <f>IF(Checklist!J181="Y","Approved","Not Approved")</f>
        <v>Not Approved</v>
      </c>
    </row>
    <row r="126" spans="1:3" ht="26.1">
      <c r="A126" s="110"/>
      <c r="B126" s="113" t="s">
        <v>578</v>
      </c>
      <c r="C126" s="58" t="str">
        <f>IF(Checklist!J182="Y","Approved","Not Approved")</f>
        <v>Not Approved</v>
      </c>
    </row>
    <row r="127" spans="1:3" ht="26.1">
      <c r="A127" s="110"/>
      <c r="B127" s="113" t="s">
        <v>579</v>
      </c>
      <c r="C127" s="58" t="str">
        <f>IF(Checklist!J183="Y","Approved","Not Approved")</f>
        <v>Not Approved</v>
      </c>
    </row>
    <row r="128" spans="1:3" ht="26.1">
      <c r="A128" s="110"/>
      <c r="B128" s="113" t="s">
        <v>324</v>
      </c>
      <c r="C128" s="58" t="str">
        <f>IF(Checklist!J184="Y","Approved","Not Approved")</f>
        <v>Not Approved</v>
      </c>
    </row>
    <row r="129" spans="1:3" ht="26.1">
      <c r="A129" s="110"/>
      <c r="B129" s="113" t="s">
        <v>326</v>
      </c>
      <c r="C129" s="58" t="str">
        <f>IF(Checklist!J185="Y","Approved","Not Approved")</f>
        <v>Not Approved</v>
      </c>
    </row>
    <row r="130" spans="1:3" ht="26.1">
      <c r="A130" s="110"/>
      <c r="B130" s="113" t="s">
        <v>327</v>
      </c>
      <c r="C130" s="58" t="str">
        <f ca="1">IF(COUNTIF(Checklist!J186:'Checklist'!J188,"Y")&gt;0,"Approved","Not Approved")</f>
        <v>Not Approved</v>
      </c>
    </row>
    <row r="131" spans="1:3" ht="26.1">
      <c r="A131" s="110"/>
      <c r="B131" s="113" t="s">
        <v>580</v>
      </c>
      <c r="C131" s="58" t="str">
        <f>IF(Checklist!J189="Y","Approved","Not Approved")</f>
        <v>Not Approved</v>
      </c>
    </row>
    <row r="132" spans="1:3" ht="26.1">
      <c r="A132" s="110"/>
      <c r="B132" s="113" t="s">
        <v>581</v>
      </c>
      <c r="C132" s="58" t="str">
        <f>IF(Checklist!J190="Y","Approved","Not Approved")</f>
        <v>Not Approved</v>
      </c>
    </row>
    <row r="133" spans="1:3" ht="26.1">
      <c r="A133" s="110"/>
      <c r="B133" s="113" t="s">
        <v>336</v>
      </c>
      <c r="C133" s="58" t="str">
        <f>IF(Checklist!J192="Y","Approved","Not Approved")</f>
        <v>Approved</v>
      </c>
    </row>
    <row r="134" spans="1:3" ht="26.1">
      <c r="A134" s="110"/>
      <c r="B134" s="113" t="s">
        <v>338</v>
      </c>
      <c r="C134" s="58" t="str">
        <f>IF(Checklist!J193="Y","Approved","Not Approved")</f>
        <v>Not Approved</v>
      </c>
    </row>
    <row r="135" spans="1:3" ht="26.1">
      <c r="A135" s="110"/>
      <c r="B135" s="113" t="s">
        <v>582</v>
      </c>
      <c r="C135" s="58" t="str">
        <f>IF(Checklist!J194="Y","Approved","Not Approved")</f>
        <v>Not Approved</v>
      </c>
    </row>
    <row r="136" spans="1:3" ht="26.1">
      <c r="A136" s="110"/>
      <c r="B136" s="113" t="s">
        <v>583</v>
      </c>
      <c r="C136" s="58" t="str">
        <f>IF(Checklist!J195="Y","Approved","Not Approved")</f>
        <v>Approved</v>
      </c>
    </row>
    <row r="137" spans="1:3">
      <c r="A137" s="111"/>
      <c r="B137" s="113" t="s">
        <v>344</v>
      </c>
      <c r="C137" s="58" t="str">
        <f>IF(Checklist!J196="Y","Approved","Not Approved")</f>
        <v>Not Approved</v>
      </c>
    </row>
  </sheetData>
  <sheetProtection algorithmName="SHA-512" hashValue="/WLkfUxRKIrY2EL75CYRxaWLUol9EWw1sJTJddXjfi0rjfmlnviP9pcZx5qvVLZM1HjmCvnC0teYSTxwY4jh4g==" saltValue="BoVLKDwiRhkT88f4wqm6KQ==" spinCount="100000" sheet="1"/>
  <mergeCells count="12">
    <mergeCell ref="A124:A137"/>
    <mergeCell ref="A11:A22"/>
    <mergeCell ref="A23:A34"/>
    <mergeCell ref="A35:A46"/>
    <mergeCell ref="A47:A54"/>
    <mergeCell ref="A55:A64"/>
    <mergeCell ref="A65:A74"/>
    <mergeCell ref="A75:A83"/>
    <mergeCell ref="A84:A94"/>
    <mergeCell ref="A95:A109"/>
    <mergeCell ref="A110:A114"/>
    <mergeCell ref="A115:A123"/>
  </mergeCells>
  <dataValidations count="1">
    <dataValidation type="list" allowBlank="1" showInputMessage="1" showErrorMessage="1" errorTitle="Alert!" error="Please select from the drop down list only!" sqref="B3" xr:uid="{3E30D055-4C49-403E-991D-1E2B1F7D35D8}">
      <formula1>"Approved,Not Approved,Conditionally Approved"</formula1>
    </dataValidation>
  </dataValidations>
  <pageMargins left="0.7" right="0.7" top="0.75" bottom="0.75" header="0.3" footer="0.3"/>
  <pageSetup orientation="portrait" horizontalDpi="300" verticalDpi="300" r:id="rId1"/>
  <headerFooter>
    <oddHeader>&amp;L&amp;"Calibri"&amp;10&amp;K000000TCS Internal&amp;1#</oddHeader>
    <oddFooter>&amp;L&amp;1#&amp;"Calibri"&amp;10&amp;K000000TCS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553890CCB2CF14DAF2CFA36B414DA02" ma:contentTypeVersion="3" ma:contentTypeDescription="Create a new document." ma:contentTypeScope="" ma:versionID="638b6b7d95d15771723f76d7b9fd2d6c">
  <xsd:schema xmlns:xsd="http://www.w3.org/2001/XMLSchema" xmlns:xs="http://www.w3.org/2001/XMLSchema" xmlns:p="http://schemas.microsoft.com/office/2006/metadata/properties" xmlns:ns2="d474f289-c77e-4956-968e-a34b0355fdc8" targetNamespace="http://schemas.microsoft.com/office/2006/metadata/properties" ma:root="true" ma:fieldsID="0e910fe8658d5f9f61f839beb9e6aba9" ns2:_="">
    <xsd:import namespace="d474f289-c77e-4956-968e-a34b0355fdc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74f289-c77e-4956-968e-a34b0355fd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E1570DF-3E2F-4EFD-85D6-C94D293B5355}"/>
</file>

<file path=customXml/itemProps2.xml><?xml version="1.0" encoding="utf-8"?>
<ds:datastoreItem xmlns:ds="http://schemas.openxmlformats.org/officeDocument/2006/customXml" ds:itemID="{6DCA72C4-290A-42EA-AA57-0250124A16C0}"/>
</file>

<file path=customXml/itemProps3.xml><?xml version="1.0" encoding="utf-8"?>
<ds:datastoreItem xmlns:ds="http://schemas.openxmlformats.org/officeDocument/2006/customXml" ds:itemID="{8AF9E2D0-D506-4F3B-9064-E6767DF1AFAE}"/>
</file>

<file path=docMetadata/LabelInfo.xml><?xml version="1.0" encoding="utf-8"?>
<clbl:labelList xmlns:clbl="http://schemas.microsoft.com/office/2020/mipLabelMetadata">
  <clbl:label id="{748066fd-9395-4325-a4e7-856a23126b8d}" enabled="1" method="Privileged" siteId="{404b1967-6507-45ab-8a6d-7374a3f478be}" contentBits="3"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Security Design Review Checklist</dc:title>
  <dc:subject/>
  <dc:creator>Samir Patil</dc:creator>
  <cp:keywords/>
  <dc:description/>
  <cp:lastModifiedBy/>
  <cp:revision/>
  <dcterms:created xsi:type="dcterms:W3CDTF">2023-04-19T05:49:14Z</dcterms:created>
  <dcterms:modified xsi:type="dcterms:W3CDTF">2026-08-20T09:21:58Z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0x010100B553890CCB2CF14DAF2CFA36B414DA02</vt:lpwstr>
  </property>
  <property fmtid="{D5CDD505-2E9C-101B-9397-08002B2CF9AE}" pid="3" name="MSIP_Label_748066fd-9395-4325-a4e7-856a23126b8d_Enabled">
    <vt:lpwstr>true</vt:lpwstr>
  </property>
  <property fmtid="{D5CDD505-2E9C-101B-9397-08002B2CF9AE}" pid="4" name="MSIP_Label_748066fd-9395-4325-a4e7-856a23126b8d_SetDate">
    <vt:lpwstr>2023-05-23T09:51:28Z</vt:lpwstr>
  </property>
  <property fmtid="{D5CDD505-2E9C-101B-9397-08002B2CF9AE}" pid="5" name="MSIP_Label_748066fd-9395-4325-a4e7-856a23126b8d_Method">
    <vt:lpwstr>Privileged</vt:lpwstr>
  </property>
  <property fmtid="{D5CDD505-2E9C-101B-9397-08002B2CF9AE}" pid="6" name="MSIP_Label_748066fd-9395-4325-a4e7-856a23126b8d_Name">
    <vt:lpwstr>748066fd-9395-4325-a4e7-856a23126b8d</vt:lpwstr>
  </property>
  <property fmtid="{D5CDD505-2E9C-101B-9397-08002B2CF9AE}" pid="7" name="MSIP_Label_748066fd-9395-4325-a4e7-856a23126b8d_SiteId">
    <vt:lpwstr>404b1967-6507-45ab-8a6d-7374a3f478be</vt:lpwstr>
  </property>
  <property fmtid="{D5CDD505-2E9C-101B-9397-08002B2CF9AE}" pid="8" name="MSIP_Label_748066fd-9395-4325-a4e7-856a23126b8d_ActionId">
    <vt:lpwstr>6c83ab28-f206-458e-8891-f1ba1c946859</vt:lpwstr>
  </property>
  <property fmtid="{D5CDD505-2E9C-101B-9397-08002B2CF9AE}" pid="9" name="MSIP_Label_748066fd-9395-4325-a4e7-856a23126b8d_ContentBits">
    <vt:lpwstr>3</vt:lpwstr>
  </property>
</Properties>
</file>