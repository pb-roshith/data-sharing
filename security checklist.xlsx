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Asset Info" sheetId="2" r:id="rId6"/>
    <sheet state="visible" name="Checklist" sheetId="3" r:id="rId7"/>
    <sheet state="visible" name="Gen AI Audit Sheet" sheetId="4" r:id="rId8"/>
    <sheet state="visible" name="Report" sheetId="5" r:id="rId9"/>
  </sheets>
  <definedNames/>
  <calcPr/>
</workbook>
</file>

<file path=xl/sharedStrings.xml><?xml version="1.0" encoding="utf-8"?>
<sst xmlns="http://schemas.openxmlformats.org/spreadsheetml/2006/main" count="1183" uniqueCount="729">
  <si>
    <t>Authentication and Password Management</t>
  </si>
  <si>
    <t>Asset TIPAR ID</t>
  </si>
  <si>
    <t xml:space="preserve">TCS Confidential </t>
  </si>
  <si>
    <t>Document History</t>
  </si>
  <si>
    <t>Tipar-ID</t>
  </si>
  <si>
    <t>Asset Information</t>
  </si>
  <si>
    <t>Name of the Artifact</t>
  </si>
  <si>
    <t>TCS Security Design Review Checklist</t>
  </si>
  <si>
    <t>Version</t>
  </si>
  <si>
    <t>Asset Name &amp; Version</t>
  </si>
  <si>
    <t>4.0</t>
  </si>
  <si>
    <t xml:space="preserve">NFR </t>
  </si>
  <si>
    <t>Release Date</t>
  </si>
  <si>
    <t>Category</t>
  </si>
  <si>
    <t>Radio Options</t>
  </si>
  <si>
    <t>Security Checkpoints</t>
  </si>
  <si>
    <t>Applicability</t>
  </si>
  <si>
    <t>Option</t>
  </si>
  <si>
    <t>Remarks</t>
  </si>
  <si>
    <t>Revision History</t>
  </si>
  <si>
    <t>Application Team comments</t>
  </si>
  <si>
    <t>Reviewer Comments</t>
  </si>
  <si>
    <t>Auto Approval</t>
  </si>
  <si>
    <t>Conditional Warnings</t>
  </si>
  <si>
    <t>Date</t>
  </si>
  <si>
    <t>Contextual Questions</t>
  </si>
  <si>
    <t>Application ID (As per ARM)</t>
  </si>
  <si>
    <t>Release No.</t>
  </si>
  <si>
    <t>1.0</t>
  </si>
  <si>
    <t>Strong Password Policy</t>
  </si>
  <si>
    <t>Formal Release of the document</t>
  </si>
  <si>
    <t>2.0</t>
  </si>
  <si>
    <t>Objective based questions for the security quality characteristics.</t>
  </si>
  <si>
    <t>3.0</t>
  </si>
  <si>
    <t>Added internet and intranet facing option under Asset Info tab and added the relevant changes in the checklist and report tab.</t>
  </si>
  <si>
    <t>Technology used</t>
  </si>
  <si>
    <r>
      <rPr>
        <rFont val="Calibri"/>
        <color theme="1"/>
        <sz val="9.0"/>
      </rPr>
      <t>Does the application connect</t>
    </r>
    <r>
      <rPr>
        <rFont val="Calibri"/>
        <strike/>
        <color theme="1"/>
        <sz val="9.0"/>
      </rPr>
      <t>s</t>
    </r>
    <r>
      <rPr>
        <rFont val="Calibri"/>
        <color theme="1"/>
        <sz val="9.0"/>
      </rPr>
      <t xml:space="preserve"> to customer SSO/LDAP/Identity &amp; Access Management?</t>
    </r>
  </si>
  <si>
    <t>Added Gen AI security design guidelines</t>
  </si>
  <si>
    <t xml:space="preserve">© Copyright [2023], Tata Consultancy Services Limited. All Rights Reserved.
Document ID CGKD009336
Unauthorized access, copying, replication, distribution, transmission, modification, adaptation or translation or use without express written permission is prohibited.  </t>
  </si>
  <si>
    <t>Application Name</t>
  </si>
  <si>
    <t>Usage Guidelines</t>
  </si>
  <si>
    <t>Internet/Intranet facing</t>
  </si>
  <si>
    <t>No</t>
  </si>
  <si>
    <t>Risk Category (Low / Medium / High / Very High)</t>
  </si>
  <si>
    <r>
      <rPr>
        <rFont val="Calibri"/>
        <color rgb="FFE41165"/>
        <sz val="11.0"/>
      </rPr>
      <t xml:space="preserve">•  </t>
    </r>
    <r>
      <rPr>
        <rFont val="Calibri"/>
        <color theme="1"/>
        <sz val="11.0"/>
      </rPr>
      <t>Asset details to be filled by the asset team in the Asset Info sheet. Answer the questions related to the asset in the Contextual Questions table.
• Checklist sheet consists of all the line items that need to be addressed and the report sheet comprises the overall review report including the approval status.
•The Applicability column in the Checklist sheet shows whether that particular line item is applicable or not; if it is 'Yes', then the asset team needs to select an appropriate Option (column F) from the drop down and if it is 'No' or if a row is grayed out it is not applicable and thus, need not be answered. 
•If the asset team selects the Option 'Yes' for any line item where Security Checkpoints is 'Others' or selects the Option 'No' for any line item that recommends something, they have to enter their comments mandatorily in the respective column; else the comments are optional.
•If the asset team wants to reset the value in the Options column, they can simply delete the content in the options column.
•Auto Approval column indicates whether that particular line item is eligible for auto approval or not. Y-indicates the line item is auto-approved and N not auto-approved.
• Document Naming Convention: &lt;TiparID of the asset&gt;_Security_Design_Review_checklist.xlsx</t>
    </r>
  </si>
  <si>
    <t>Is it a multi-role application?</t>
  </si>
  <si>
    <t>no</t>
  </si>
  <si>
    <t>Is the application dealing with Gen AI ?</t>
  </si>
  <si>
    <t>Is the application only a desktop application or a backend application and available as services without user authentication?</t>
  </si>
  <si>
    <t>Sr.No</t>
  </si>
  <si>
    <t>Section</t>
  </si>
  <si>
    <t>Section Name</t>
  </si>
  <si>
    <t>Sub</t>
  </si>
  <si>
    <t>Requirement</t>
  </si>
  <si>
    <t>Application team Remarks</t>
  </si>
  <si>
    <t>Reviewer's Comments</t>
  </si>
  <si>
    <t>Benchmark ReferenceGuidelines</t>
  </si>
  <si>
    <t>Has a strong password policy been implemented depending on the business requirements?</t>
  </si>
  <si>
    <t>V1</t>
  </si>
  <si>
    <t>Secure Configuration</t>
  </si>
  <si>
    <t>Identify any components that store secrets, like API keys, for third-party systems, like hosted LLMs and vector databases, and ensure the secure handling of these credentials according to section V2.10 “Service Authentication” of the OWASP ASVS.</t>
  </si>
  <si>
    <t>The application uses Mistral API and PostgreSQL, currently supplied through environment variables (.env files are Git-ignored)</t>
  </si>
  <si>
    <t>1.Have you utilized Azure Key Vault to store API keys and secret keys?
2.Have you ensured that a private connection is enabled?</t>
  </si>
  <si>
    <t>Partially. The application enforces a minimum of 12 characters with uppercase, lowercase, numeric, and special characters; it also prevents inclusion of the user ID. Passwords are salted and hashed using PBKDF2-HMAC-SHA256 with 600,000 iterations. However, password history, expiry, breached-password screening, failed-login lockout, and rate limiting are not currently implemented and must be aligned with the organization’s password policy before production.</t>
  </si>
  <si>
    <t>For self-hosted LLMs, ensure they are appropriately segregated within the network to prevent direct exposure to end-users unless such access is required.</t>
  </si>
  <si>
    <t>Are Self Hosted LLM's utilized?</t>
  </si>
  <si>
    <t>Maintain an up-to-date inventory of all LLM instances and apply regular updates and patches to self-hosted models.</t>
  </si>
  <si>
    <t>Others</t>
  </si>
  <si>
    <t>Perform and document regular configuration reviews for configuration settings associated with the LLM-powered system.</t>
  </si>
  <si>
    <t>Content filtering uses mistral-moderation-latest for custom instructions and output templates; flagged content is blocked and results are logged for review. Service endpoints for PostgreSQL, MCP are environment-configured, while CORS is currently limited to local development origins. A formal periodic configuration-review process and fail-closed moderation behavior must be established before production certification.</t>
  </si>
  <si>
    <t xml:space="preserve">
How are these points being managed needs to be addressed
1. Content Filter Configuration
2. Endpoint Configuration</t>
  </si>
  <si>
    <t>V2</t>
  </si>
  <si>
    <t>Model Lifecycle</t>
  </si>
  <si>
    <t>Ensure that the lifecycle of machine learning models is integrated into the existing Secure Software Development Lifecycle (SSDLC). Defined processes should exist and be available for each stage of the lifecycle of ML models.</t>
  </si>
  <si>
    <t>N</t>
  </si>
  <si>
    <t>Application team to confirm whether there is requirement to use new model/train model else this case will not be applicable</t>
  </si>
  <si>
    <t>Document user stories defining the requirements and use cases for any new ML model being produced.</t>
  </si>
  <si>
    <t>Application team will share the user story as per their usecase</t>
  </si>
  <si>
    <t>Ensure that model training resources and datasets are acquired from trustworthy sources and validated for correctness or free from malicious data.</t>
  </si>
  <si>
    <t>Applicable to RAG data. Only authenticated deal owners can upload files, text, or URLs to deal-specific Mistral Document Libraries. Company data is owner-scoped, section URLs are validated, and retrieved source details and citations are recorded for verification. Duplicate legacy uploads are identified using SHA-256 hashes.</t>
  </si>
  <si>
    <t xml:space="preserve">
Data used by UseCase/RAG (Retrival Augmented Generated / Grounded) needs to be verified
[Applicable for Upload functionality in Gen AI UseCase]</t>
  </si>
  <si>
    <t>Is the password policy configurable?</t>
  </si>
  <si>
    <t>Ensure that model training resources and datasets are properly secured from unauthorized modification once acquired.</t>
  </si>
  <si>
    <t>Uploaded RAG files are protected through session-based authentication, role-based access, and deal-level authorization. File metadata—including deal ID, filename, source type, size, Mistral file ID, and creation time—is stored, while uploads are recorded in application logs/traces. Files cannot be edited in place; changes require authorized deletion and re-upload.</t>
  </si>
  <si>
    <t xml:space="preserve">
Have you confirmed whether there are mechanisms in place to monitor and log any access or modifications made to the training resources and datasets/  or whether activities related to files uploaded by users are being logged? This helps in detecting any unauthorized attempts to alter the data and provides a record for auditing purposes.
Recommendation:
 Application has to maintain the authorization properly to avoid improper modification of data
[Applicable for Upload functionality in Gen AI UseCase]</t>
  </si>
  <si>
    <t>Ensure that the source of any training resources and datasets is documented.</t>
  </si>
  <si>
    <t>Applicable to RAG inputs. The application records company-library documents, deal-specific file/URL/text uploads, PostgreSQL source tables, and section URLs. Stored metadata includes source type, filename or URL, deal association, file/library ID, size, timestamp, and retrieved-source/citation details.</t>
  </si>
  <si>
    <t xml:space="preserve">
For now, Application team has to maintain record of the datasets that is shared to LLM
[Applicable for Upload functionality in Gen AI UseCase]</t>
  </si>
  <si>
    <t>Ensure that any data cleaning or other modifications to the original training resources are tracked and auditable to reduce the risk of data poisoning from an insider threat.</t>
  </si>
  <si>
    <t>Partially implemented. The password policy is defined in backend code but is not configurable through application settings or environment variables.</t>
  </si>
  <si>
    <t>Uploaded files are treated only as RAG data and are not executed by the application. SHA-256 hashes, source metadata, extraction method, page count, and extracted content are recorded; OCR/upload operations are logged. User-provided instructions and templates are moderated, with flagged content blocked before generation.</t>
  </si>
  <si>
    <t>Application team to share information on below points
1. Application has to maintain checks to block harmful content from getting executed
2. Everything should get added in logs.
[Applicable for Upload functionality in Gen AI UseCase]</t>
  </si>
  <si>
    <t>Ensure that the intellectual property rights of model training resources and datasets are checked to avoid potential license or copyright infringement issues. Ensure this process is documented and auditable.</t>
  </si>
  <si>
    <t xml:space="preserve">
Application team to share information on below points
1. Data Ownership Mail
2. Plagarism Check (IRC)
3. All features in the AI Services should be first approved from Legal end.
</t>
  </si>
  <si>
    <t>Ensure that model training resources are audited for sensitive data (such as PII, internal company data, etc.) and cleaned before training to mitigate sensitive data exposure in model responses.</t>
  </si>
  <si>
    <t xml:space="preserve">
Privacy Approval to be shared by application team (for data sent to LLM as part of RAG/Context) for sensitive information
[Applicable for Upload functionality in Gen AI UseCase]</t>
  </si>
  <si>
    <t>3.1.1</t>
  </si>
  <si>
    <t>Ensure secure acquisition and storage of foundational or pre-trained models.</t>
  </si>
  <si>
    <t>As of now, applicable when Self-Hosted LLM are utilized</t>
  </si>
  <si>
    <t>Where possible, prefer secure model formats such as SafeTensors over formats that use unsafe serialization, like PyTorch’s Pickle format.</t>
  </si>
  <si>
    <t>If applicable, share the required information</t>
  </si>
  <si>
    <t>Ensure that foundational models are fine-tuned to limit irrelevant data points which may lead to poor model performance.</t>
  </si>
  <si>
    <t xml:space="preserve">
Share information whether grounding is properly handled
[The Limit/Scope of LLM Model should be defined properly by App Team/ Business Team]
Note : NOT APPLICABLE IN ULTIMATIX AS OF NOW, but if applicable team should add data</t>
  </si>
  <si>
    <t>Check regulatory obligations to ensure compliance when handling and processing model training data.</t>
  </si>
  <si>
    <t>Note : NOT APPLICABLE IN ULTIMATIX AS OF NOW, but if applicable team should add data</t>
  </si>
  <si>
    <t>Ensure that an ML Bill-of-Materials (BOM) is produced for each model.</t>
  </si>
  <si>
    <t>The model-component inventory includes mistral-large-latest for generation and evaluation, mistral-moderation-latest for content moderation, and mistral-ocr-latest for document extraction. All are hosted Mistral services; no custom model artifacts are maintained.</t>
  </si>
  <si>
    <t>1. Details of Components to be shared, if present</t>
  </si>
  <si>
    <t>Consider watermarking techniques for model responses when model theft is a concern, or the output of the model needs to be identifiable.</t>
  </si>
  <si>
    <t>The UI identifies the assessment as AI-generated and displays a disclaimer that AI accuracy may not reflect ground truth and critical data must be independently verified.</t>
  </si>
  <si>
    <t xml:space="preserve">
Recommendation:
1. As response is provided by LLM model only, hence one annotation is added at end of the response of LLM Model (e.g: content generated by LLM Model)
2. It is must for application team to show this annotation in the UI to end user</t>
  </si>
  <si>
    <t>Ensure tooling to detect biases and ensure fairness are integrated into the ML model’s lifecycle.</t>
  </si>
  <si>
    <t>User instructions and templates are checked for hate and discrimination using Mistral moderation, with results recorded. Generated credit narratives remain subject to human review and Credit Analyst approval.</t>
  </si>
  <si>
    <t>Have you confirmed that there are regular evaluations and updates to the bias detection tools to address new findings and ensure the model remains fair and equitable over time? This helps maintain a commitment to fairness as the model evolves.</t>
  </si>
  <si>
    <t>Partially implemented. Passwords require a minimum of 12 characters, uppercase, lowercase, digit, and special character. Passwords cannot contain the user ID. The configured maximum length is 128 characters, not 50–64.</t>
  </si>
  <si>
    <t>Ensure security tooling to detect LLM vulnerabilities such as injection attacks, jailbreak attempts, and other abuse are integrated into the ML model’s lifecycle.</t>
  </si>
  <si>
    <t>Custom instructions and output templates pass through Mistral moderation before generation, with flagged inputs blocked and results logged. Web content is explicitly treated as untrusted evidence, and agents are instructed not to follow instructions embedded within it.</t>
  </si>
  <si>
    <t xml:space="preserve">
 Have you confirmed that there are regular assessments and updates to the security tooling to ensure it remains effective against new and evolving threats? This helps maintain a robust security posture as the model and its environment change.
Recommendation: Injection checks should be enabled at Application end</t>
  </si>
  <si>
    <t>Before a model is finalized for deployment, conduct a thorough risk assessment to understand potential security, ethical, and operational risks. This assessment should guide the decision-making process regarding the deployment of the model.</t>
  </si>
  <si>
    <t>Context validation includes source-grounded citations, claim classification as supported/inferred/unsupported, confidence scoring, moderation, and mandatory human review before Credit Analyst approval.</t>
  </si>
  <si>
    <t>Context Testing is to be conducted by application team</t>
  </si>
  <si>
    <t>Secure storage of credentials</t>
  </si>
  <si>
    <t>Ensure there is a clear plan for decommissioning models that are no longer in use. This includes securely erasing data, model parameters, and any sensitive information associated with the model to prevent unauthorized access or misuse.</t>
  </si>
  <si>
    <t>Have you confirmed that there are procedures in place to verify that all sensitive information associated with the model has been completely removed to prevent unauthorized access or misuse? This helps protect against potential data breaches.</t>
  </si>
  <si>
    <t>V3</t>
  </si>
  <si>
    <t>Real-Time Learning</t>
  </si>
  <si>
    <t>Define clear terms of use and guidelines for interacting with the model and make users aware of acceptable and unacceptable behaviors.</t>
  </si>
  <si>
    <t>Access is limited to authenticated users, unsafe custom instructions/templates are moderated, and the UI displays an AI accuracy disclaimer. User acceptance of terms or consent evidence is not currently captured by the application.</t>
  </si>
  <si>
    <t xml:space="preserve">
Have you confirmed that users are made aware of these terms and guidelines, such as through onboarding processes or visible notifications? This helps ensure that users understand the rules and the consequences of violating them.
Note: The Consent should be taken from user and this consent proof should be shared by the application team</t>
  </si>
  <si>
    <t>Ensure continuous monitoring of the model’s performance and interactions. This includes logging all inputs and outputs (where appropriate, with consideration to the potential sensitivity of the data) in real time to quickly identify and address any inappropriate or unexpected behavior.</t>
  </si>
  <si>
    <t>Mistral telemetry and the in-application observability dashboard monitor moderation, orchestration, generation, latency, tokens, sources, and confidence. Database records include audit_entries, narrative_versions, generated content, moderation results, accuracy details, and observability details. Sensitive trace content is redacted.</t>
  </si>
  <si>
    <t xml:space="preserve">
Have you implemented continuous monitoring of the model’s performance and interactions to ensure that all inputs and outputs are logged in real time? This is important for quickly identifying any inappropriate or unexpected behavior.
1.Application team to share sample logs (stored in DB).</t>
  </si>
  <si>
    <t>Create clear protocols for immediate intervention in case the model starts displaying undesirable behavior. This should include the ability to quickly take the system offline if necessary.</t>
  </si>
  <si>
    <t>The service supports controlled shutdown, during which active Mistral agents/connectors are removed and the MCP connection is closed. No application-level emergency kill switch is implemented.</t>
  </si>
  <si>
    <t>1. Have you confirmed that there is a mechanism in place to quickly take the system offline if necessary to prevent further issues? This helps protect users and the integrity of the application.</t>
  </si>
  <si>
    <t>Yes. The application stores passwords in the database only as salted hashes. It uses a unique cryptographically generated 16-byte salt for each password and PBKDF2-HMAC-SHA256 with 600,000 iterations. Plaintext passwords and reusable password credentials are not stored in the database.</t>
  </si>
  <si>
    <t>Regularly analyze user interactions to identify and mitigate attempts to manipulate the model into inappropriate behavior.</t>
  </si>
  <si>
    <t>User instructions and templates are moderated, and flagged activity is recorded for review through moderation and observability data</t>
  </si>
  <si>
    <t>Have you checked that there is a process in place to regularly analyze user interactions with the LLM to identify any patterns or attempts to manipulate the model into inappropriate behavior? This is important for understanding how users are interacting with the system and spotting potential misuse.
Recommendation: 
1. JailBreak Detection should be implemented to prevent jail break.
2. It is recommended to block user after certain limits of performing malicious activity.</t>
  </si>
  <si>
    <t>Consider using an incremental learning approach where the model can be updated in increments with human approval.</t>
  </si>
  <si>
    <t xml:space="preserve">
Models are provided by the Vendor
But if applicable, required data is to be added</t>
  </si>
  <si>
    <t>V4</t>
  </si>
  <si>
    <t>Model Memory &amp; Storage</t>
  </si>
  <si>
    <t>Ensure that mechanisms that implement “Conversational memory” do not mistakenly mix up prior prompts for other users.</t>
  </si>
  <si>
    <t>The application does not maintain conversational memory between generations. Every request starts a new Mistral conversation with store=False. Deal-specific libraries are bound within an application lock to prevent concurrent requests from mixing user data.</t>
  </si>
  <si>
    <t>1. To test it via prompts (previous chat, simultaneously create two parallel chats and check for data mixing)
2. Application team to confirm incase if they are storing the conversational history within the application storage &amp; how they are managing it, if any such scenario present</t>
  </si>
  <si>
    <r>
      <rPr>
        <rFont val="Calibri"/>
        <color theme="1"/>
        <sz val="9.0"/>
      </rPr>
      <t>Does the application use</t>
    </r>
    <r>
      <rPr>
        <rFont val="Calibri"/>
        <strike/>
        <color theme="1"/>
        <sz val="9.0"/>
      </rPr>
      <t>s</t>
    </r>
    <r>
      <rPr>
        <rFont val="Calibri"/>
        <color theme="1"/>
        <sz val="9.0"/>
      </rPr>
      <t xml:space="preserve"> slow hashing algorithms like scrypt/bcrypt/PBKDF2WithHMACSHA256/PBKDF2WithHMACSHA512/Argon2id?</t>
    </r>
  </si>
  <si>
    <t>Ensure that mechanisms which support “long-term” storage appropriately segregate user data to ensure it is not possible to retrieve data pertaining to other users, or inject false records for other users.</t>
  </si>
  <si>
    <t>Application data and generated narratives are automatically stored in the backend database; structured RAG data is stored in a separate PostgreSQL database. Records are segregated by user, owner, deal, and section IDs. Authentication, role-based authorization, deal-scoped queries, hashed session tokens, and owner-scoped Mistral libraries prevent cross-user access or modification.</t>
  </si>
  <si>
    <t>1. Application team to confirm where the data is stored, is it stored manually or is there any automation present post user prompts are triggered.
2. Application team to confirm how they are securing the db</t>
  </si>
  <si>
    <t>Ensure that controls exist to detect leakage of sensitive data from internal knowledge bases provided as additional context to the LLM. It should not be possible to coerce the LLM into leaking the contents of the knowledge base.</t>
  </si>
  <si>
    <t>Knowledge access is restricted by authentication, role, owner, and deal. Each generation uses only the relevant deal libraries and structured data, conversations are not retained by Mistral, and telemetry content is redacted.</t>
  </si>
  <si>
    <t>Have you checked that there are controls in place to monitor and detect any attempts to extract sensitive data from internal knowledge bases when interacting with the LLM? This is important to identify potential data leakage incidents.</t>
  </si>
  <si>
    <t>Ensure that external storage components such as vector databases and caches require authentication for consumers.</t>
  </si>
  <si>
    <t>1. Check authentication mechanism at Solar or any other vector databases used
2. Directly check for the accessibility of Solar IP:Port
[Solar Apache is tool and every application will have it's own installed on its server]</t>
  </si>
  <si>
    <t>Implemented. User passwords are hashed using PBKDF2-HMAC-SHA256 with 600,000 iterations and a unique cryptographically random 16-byte salt. Password verification uses constant-time comparison.</t>
  </si>
  <si>
    <t>Enforce the principle of least privilege for accessing production storage components, such as vector databases and caches.</t>
  </si>
  <si>
    <t>Storage access is mediated by the backend using authenticated sessions, RBAC, deal-scoped authorization, and owner-scoped database queries. Relationship Managers access their own deals, while Credit Analysts have application-wide review access.</t>
  </si>
  <si>
    <t>1. Check authentication mechanism and authorization implemented for accessing the storage used to store history and vector databases
2. It can be either RBAC else specific user is having access to this storage in production</t>
  </si>
  <si>
    <t>When updating embeddings within a knowledge base, ensure that an adversary is not able to inject arbitrary documents or otherwise insert false information into the knowledge base.</t>
  </si>
  <si>
    <t>The knowledge base is stored in owner-scoped company libraries and deal-specific Mistral Document Libraries. Only authenticated Relationship Managers for their deals and authorized Credit Analysts can upload or remove documents. Company-library sources are read-only through the application.</t>
  </si>
  <si>
    <t>1. Application team should share information where they are storing the knowledge base
2. Team to share information on who all can access this knowledge base
3. Need confirmation from application team to check whether it is connected with Secure Storage (e.g AEM)</t>
  </si>
  <si>
    <t>V5</t>
  </si>
  <si>
    <t>Unique Id for each user</t>
  </si>
  <si>
    <t>Secure LLM Integration</t>
  </si>
  <si>
    <t>Ensure that prompts to LLMs are issued from a trusted server-side component.</t>
  </si>
  <si>
    <t>The frontend does not communicate directly with Mistral. All prompts are assembled and sent by the FastAPI backend using predefined system instructions, scoped RAG context, and separately marked user instructions/templates. The Mistral API key remains server-side.</t>
  </si>
  <si>
    <t xml:space="preserve">
Recommendation:
1. Application team will confirm via architecture to review and make sure that client does not interacts with the LLM Model Directly.
2. API Gateway should be used as intermediate component for API's utilized.
3. IDEAL FLOW OF USER PROMPT: Main Prompt is created by the application team and then the user prompts are passed over it and then accordingly the reponse is passed</t>
  </si>
  <si>
    <t>Does each user have a unique ID?</t>
  </si>
  <si>
    <t>Ensure that prompts to LLMs are constructed server-side, rather than accepting the complete prompt directly from the client.</t>
  </si>
  <si>
    <t>Prompts are constructed by the FastAPI backend using fixed system instructions, scoped RAG context, and validated user inputs. Clients cannot submit the complete model prompt directly.</t>
  </si>
  <si>
    <t>Have you checked whether server-side validation is present before passing the prompts to the models?</t>
  </si>
  <si>
    <t>Consider the use of redundant LLM accounts and providers to avoid single points of failure and ensure application availability.</t>
  </si>
  <si>
    <t>The application uses Mistral as its sole LLM provider. Transient failures use retry logic, while MCP failures degrade to available library sources. No automatic backup LLM-provider failover is implemented.</t>
  </si>
  <si>
    <t>Have you confirmed that there are monitoring and failover mechanisms in place to automatically switch to a backup LLM provider if the primary one becomes unavailable? This helps maintain application availability and reliability.</t>
  </si>
  <si>
    <t>Ensure that credentials for LLM providers are securely handled according to section V2.10 “Service Authentication” of the OWASP ASVS.</t>
  </si>
  <si>
    <t>The Mistral API key is loaded server-side from environment configuration and .env files are excluded from Git. Automated credential rotation is not implemented.</t>
  </si>
  <si>
    <t>Have you confirmed that there are processes in place to regularly review and rotate these credentials to minimize the risk of exposure? This helps ensure that even if credentials are compromised, their impact is limited.</t>
  </si>
  <si>
    <t>Yes. Each user has a system-generated UUID as the internal primary identifier. The user ID used for login is also protected by a database uniqueness constraint, preventing duplicate accounts with the same ID.</t>
  </si>
  <si>
    <t>Ensure that the output format and properties of the data returned from the LLM match the expected structure and properties. Specifically, when a response is expected in JSON, the result should not only be in valid JSON format, but also undergo schema validation to ensure it contains all the expected JSON fields and does not include any unnecessary or extraneous properties.</t>
  </si>
  <si>
    <t>Primary narrative responses are configured as structured Markdown and undergo artifact removal, citation normalization, and table cleanup. Orchestration and presentation-generation responses request JSON and use JSON parsing with controlled fallbacks</t>
  </si>
  <si>
    <t xml:space="preserve">
Have you checked that the output from the LLM is in the expected format, such as valid JSON, and that it adheres to the required structure? This is important to ensure that the data can be processed correctly without errors.
Also, Application team to share what output format is configured for the LLM response</t>
  </si>
  <si>
    <t>Asset Registration ID</t>
  </si>
  <si>
    <t>Ensure that the output language of the LLM response matches the expected language.</t>
  </si>
  <si>
    <t>The expected output is English, using formal banking language and Markdown formatting.</t>
  </si>
  <si>
    <t>1. Application team to share the business requirement and language expected in reponse of LLM.
2. And team should take care that output is extracted in required language only</t>
  </si>
  <si>
    <t>Consider using canary tokens in LLM prompts and check whether LLM completions contain the canary word to detect prompt leakage attacks.</t>
  </si>
  <si>
    <t>Have you confirmed that there is a process in place to analyze LLM completions for the presence of the canary word? This helps in detecting if the prompt has been leaked or misused.
Canary tokens are unique identifiers embedded in prompts or data that alert you if they are accessed or triggered. They act as a warning system for potential security breaches.
Example: If you include a canary token like "SECRET123" in an LLM prompt, you would then check the LLM's response to see if it includes that specific word. If the response contains "SECRET123," it indicates that the prompt may have been leaked or accessed inappropriately, signaling a potential security issue.</t>
  </si>
  <si>
    <t>Check the entropy of LLM responses to detect encoded data which aims to circumvent additional checks, such as bypassing canary tokens.</t>
  </si>
  <si>
    <t xml:space="preserve"> Have you confirmed that there are mechanisms in place to flag responses with high entropy for further review? This helps in detecting attempts to bypass security measures, such as canary tokens.
Entropy is a measure of randomness in data. High entropy indicates complex and unpredictable data, while low entropy suggests more predictable patterns. For example, a random string like "aB3$gH7!kL9" has high entropy because it contains a mix of letters, numbers, and symbols, making it hard to predict. In contrast, a string like "aaaaaa" has low entropy because it is repetitive and predictable. Analyzing entropy helps spot hidden or encoded information that could compromise security.</t>
  </si>
  <si>
    <t>Tool Evaluation Status</t>
  </si>
  <si>
    <t>Perform length checks on LLM completions to verify that the response length is within an expected range. For example, a response that is significantly longer than the normal output length might indicate the completion is including additional, unexpected data.</t>
  </si>
  <si>
    <t>Response length is captured in telemetry, and section prompts specify expected content lengths</t>
  </si>
  <si>
    <t>Have you confirmed that there are alerts or logs generated when a response exceeds the normal output length? This helps in identifying any unusual behavior that could indicate the inclusion of unexpected data.</t>
  </si>
  <si>
    <t>Ensure that the application properly suppresses any exceptions and error messages when interacting with the LLM. LLM errors may inadvertently leak the prompt and should not be visible to the client.</t>
  </si>
  <si>
    <t>Unexpected provider errors are logged server-side, and standard API failures return controlled messages.</t>
  </si>
  <si>
    <t>Unique token for new session</t>
  </si>
  <si>
    <t>Have you confirmed that there are generic error messages displayed to the client instead of specific details about the LLM interactions? This helps to ensure that no prompts or internal information are inadvertently leaked.
Recommendation:
The sanity is performed at the application level
[Note : For Error Handling Code Parseing is done | Generic Prompts are configured at application team is responsible to configure]</t>
  </si>
  <si>
    <t>On every successful Authentication event of the user or service, is a new session token generated and any old session associated with the same user or service invalidated?</t>
  </si>
  <si>
    <t>Ensure that appropriate LLM guards are used to scan prompts and completions to help detect potential prompt injection attacks.</t>
  </si>
  <si>
    <t>Custom instructions and templates are scanned using Mistral moderation, flagged prompts are blocked, web content is marked as untrusted, and completion artifacts such as exposed search queries are detected and retried.</t>
  </si>
  <si>
    <t>1. Application team will share proof that context based precautionary checks (Guardrails) are enabled.
2. Major Checks should be implemented at Application level as per the Use-Case</t>
  </si>
  <si>
    <t>Reviewer Evaluation Status</t>
  </si>
  <si>
    <t>Ensure that all prompts are considered to be untrusted and subjected to any deployed security controls. Reflecting stored data, data from third-party APIs, or the response from previous prompt completions may lead to indirect prompt injections and must be subjected to the same controls as prompts containing direct user input.</t>
  </si>
  <si>
    <t>Direct user instructions are moderated, and webpage content is explicitly treated as untrusted with instructions to the agent not to follow embedded commands. Previous conversations are not reused. Uploaded documents and structured da</t>
  </si>
  <si>
    <t>Incase the gen ai -use case is utilizing the memory/chat support (previous output of LLM is used as input to the next user prompt) then it needs to be taken care by the application team, proof should be shared for the same.</t>
  </si>
  <si>
    <t>Reviewer Final Comments</t>
  </si>
  <si>
    <t>Ensure that the output of LLM completions is considered to be untrusted by any subsequent system. For example, if using the LLM response within a SQL query, the query should not be constructed by concatenating parts of the LLM response but should follow section V5.3.4 of the OWASP ASVS and use parameterized queries.</t>
  </si>
  <si>
    <t>LLM responses are stored using SQLAlchemy ORM operations rather than concatenated SQL</t>
  </si>
  <si>
    <t>Partially. A new cryptographically secure session token is generated after every successful login. However, earlier sessions for the same user are not automatically invalidated at login, so multiple concurrent sessions are currently permitted.</t>
  </si>
  <si>
    <t>1. Application team should share proof how they are storing the data into their database.
2. How safely the application team is dealing with response by the LLM needs to be verified</t>
  </si>
  <si>
    <t>Total Applicable Checklist Items</t>
  </si>
  <si>
    <t>Ensure that systems that result in LLM calls have appropriate API rate limiting to avoid excessive calls to LLMs, which may result in unexpected and excessive LLM costs.</t>
  </si>
  <si>
    <t>Configurable semaphores restrict concurrent orchestration and generation calls during batch processing.</t>
  </si>
  <si>
    <t xml:space="preserve">
Have you checked that the systems making calls to the LLM have proper API rate limiting in place? This is important to prevent excessive requests that could lead to high costs
Recommendation:
1. Rate Limit check needs to be within limit
2. API should always be hosted behind Application Gateway and then be consumed.</t>
  </si>
  <si>
    <t>Ensure that cost alerts are active within LLM provider configurations to be alerted when costs exceed expectations.</t>
  </si>
  <si>
    <t>Have you checked that cost alerts are set up and active in the LLM provider's configurations? This is important to ensure you are notified if costs start to exceed what you expect.</t>
  </si>
  <si>
    <t>Total Autoapproved</t>
  </si>
  <si>
    <t>Define baselines for normal LLM interactions and monitor and alert when abnormal LLM interactions are detected.</t>
  </si>
  <si>
    <t>The observability dashboard monitors latency, tokens, failures, moderation, grounding sources, and confidence. Flagged content is shown to users and generation is blocked.</t>
  </si>
  <si>
    <t>Have you set up a monitoring system that can alert you when abnormal interactions with the LLM are detected? This is important to quickly respond to any potential security incidents or misuse.
Recommendation:
Incase if any abnormal prompts detection happens the user must be notified about it on UI end</t>
  </si>
  <si>
    <t>Total Not Autoapproved</t>
  </si>
  <si>
    <t>Ensure any functionality that allows anonymous users to preview features is properly restricted to allow only the necessary features.</t>
  </si>
  <si>
    <t>Have you checked that any features allowing anonymous users to preview are limited to only the necessary functions? This helps to prevent unauthorized access to sensitive information.
Note &amp; Recommendation:
1. Anonymous users should not be allowed to access the application.
2. User must be strictly TCSer and application should be accessible only post authentication via SSO only</t>
  </si>
  <si>
    <t>V6</t>
  </si>
  <si>
    <t>Agents &amp; Plugins</t>
  </si>
  <si>
    <t>Ensure that agent-based solutions only expose access to the agent tools and plugins required for the current task. When multiple agent-supported tasks exist, it should not be possible for a given task to leverage tools or plugins used by another task.</t>
  </si>
  <si>
    <t>. The solution uses 16 section-specific Mistral agents and one orchestration agent. Each agent has fixed task-specific instructions and only receives the document-library tool scoped to the active company/deal libraries. No user-configurable plugins are exposed.</t>
  </si>
  <si>
    <t>Security Foundation Parameter</t>
  </si>
  <si>
    <t>Application team should confirm and provide information if any agents or plugins are utilized</t>
  </si>
  <si>
    <t>Checklist category</t>
  </si>
  <si>
    <t>Approval Status</t>
  </si>
  <si>
    <t>Ensure that custom plugins and agent tools follow existing SSDLC processes.</t>
  </si>
  <si>
    <t>Agent instructions and tool integrations are maintained as version-controlled application code and follow the same development, testing, review, and deployment path as the backend.</t>
  </si>
  <si>
    <t>Logout</t>
  </si>
  <si>
    <t>Does the application inform the user on logging out and seek confirmation to logout the user on clicking Logout button?</t>
  </si>
  <si>
    <t>Ensure third-party plugins and toolkits are properly vetted according to existing third-party risk management processes.</t>
  </si>
  <si>
    <t>No third-party plugins are dynamically loaded. The solution uses Mistral-hosted APIs and packaged SDK dependencies</t>
  </si>
  <si>
    <t>Strong password policy</t>
  </si>
  <si>
    <t>Ensure that the parameters for agent tools and plugins are validated prior to execution. Typical checks should include type checks at minimum, in addition to any more specific validation.</t>
  </si>
  <si>
    <t>Agents only receive backend-controlled Mistral library IDs. Custom MCP tools use typed function parameters and validate user ownership, company, table names, and record limits before database execution.</t>
  </si>
  <si>
    <t>Ensure that credentials for third-party services consumed by agent tools and plugins are securely handled according to section V2.10 “Service Authentication” of the OWASP ASVS.</t>
  </si>
  <si>
    <t>Mistral and PostgreSQL credentials are loaded server-side from environment configuration and are not exposed to agents, prompts, or the frontend.</t>
  </si>
  <si>
    <t>Secure storage of credentials / keys</t>
  </si>
  <si>
    <t>Ensure that agent and plugin frameworks contain hooks that allow the raw prompts and completions to be intercepted, enabling LLM guards to operate, and enabling proper monitoring, troubleshooting, and auditing.</t>
  </si>
  <si>
    <t>Prompt construction, moderation, LLM invocation, completion cleanup, metrics, and persistence are handled through server-side service layers.</t>
  </si>
  <si>
    <t>Ensure that custom-built plugins consider the scope of the currently authenticated principle. Plugins should not be able to access more than what the current principle is authorized to access.</t>
  </si>
  <si>
    <t>No custom client-side plugins are used. MCP tool requests include the authenticated owner ID, and database queries enforce owner/company scope. Deal-library access is also controlled through application authorization.</t>
  </si>
  <si>
    <t>Ensure that the host that executes agent tools and plugins is appropriately segregated from other internal components. Certain internal services might need to be queried, but firewall rules should enforce that unrelated services are not reachable.</t>
  </si>
  <si>
    <t>The MCP tool service and its PostgreSQL database run separately from the application backend, with the MCP endpoint bound to localhost by default.</t>
  </si>
  <si>
    <t>Ensure that the host that executes agent tools and plugins is appropriately restricted from making arbitrary egress network requests. Only traffic for required APIs and services should be allowed to help increase the difficulty of data exfiltration from autonomous agents.</t>
  </si>
  <si>
    <t>Agents only receive Mistral’s managed document-library tool and cannot initiate arbitrary network calls. The URL extraction service permits public HTTP/HTTPS sources while blocking private, local, reserved, and credential-bearing URLs.</t>
  </si>
  <si>
    <t>Ensure that API tokens for third-party services are scoped to the minimum required by the agent or plugin. For example, an agent designed to read messages from a specific Slack channel should not be able to read messages from other channels or post messages.</t>
  </si>
  <si>
    <t>Logout invalidates the active server-side session, deletes the browser’s session cookie, clears the authenticated user state, and prevents further use of that token. A confirmation dialog may be added if required by the organization’s user-experience or security policy.</t>
  </si>
  <si>
    <t>Consider manual approval, sometimes referred to as “human-in-the-loop,” for sensitive operations before autonomous agents can continue execution.</t>
  </si>
  <si>
    <t>Agents produce draft credit narratives only. Relationship Managers review and submit dossiers, while Credit Analysts must manually approve or deny submitted versions. Agents cannot autonomously approve credit decisions.</t>
  </si>
  <si>
    <t>Password management event logging</t>
  </si>
  <si>
    <t>Ensure that agents are executed in a sandboxed ephemeral environment to reduce the risk of agent prompts which result in code execution due to software defects.</t>
  </si>
  <si>
    <t>Is the session token invalidated on logout?</t>
  </si>
  <si>
    <t>Agents execute within Mistral’s hosted environment and expose no shell or code-execution tools</t>
  </si>
  <si>
    <t>V7</t>
  </si>
  <si>
    <t>Dependency &amp; Component</t>
  </si>
  <si>
    <t>Encrypted communication for secrets in transit</t>
  </si>
  <si>
    <t>Utilize Software Composition Analysis (SCA) tools to identify and remediate known vulnerabilities within third-party components used in LLM-powered applications.</t>
  </si>
  <si>
    <t>The project contains Python and npm third-party dependencies, but no SCA configuration or SCA report is currently stored in the repository.</t>
  </si>
  <si>
    <t>Application team who will be deploying the Gen AI UseCase, in this application team needs to share the SCA Report</t>
  </si>
  <si>
    <t>Secure password recovery</t>
  </si>
  <si>
    <t>Ensure that all third-party LLM components are acquired from a trusted source.</t>
  </si>
  <si>
    <t>Implemented. On logout, the server-side session record is deleted from the database and the session cookie is removed, preventing reuse of the token.</t>
  </si>
  <si>
    <t>Python components, including the official Mistral SDK, are acquired through PyPI. Frontend packages are acquired from the npm registry, with resolved versions and integrity hashes recorded in package-lock.json.</t>
  </si>
  <si>
    <t>Latest version of TLS used for communication</t>
  </si>
  <si>
    <t>Application team can share the OSS RFC as proof, incase third party components are involved</t>
  </si>
  <si>
    <t>Ensure a defined vulnerability and patch management process exists for third-party components.</t>
  </si>
  <si>
    <t>. Dependencies are declared in backend/requirements.txt, mcp/requirements.txt, and frontend package manifests. No automated vulnerability patching tool or documented patch-management workflow is present in the repository.</t>
  </si>
  <si>
    <t>1. For Mitigating vulnerable libraries or components, application team needs to share the OSS RFC as the proof, , incase third party components are involved</t>
  </si>
  <si>
    <t>Anti-automation controls</t>
  </si>
  <si>
    <t>Ensure that a Software Bill of Materials (SBOM) exists cataloging third-party components, licenses, and versions.</t>
  </si>
  <si>
    <t>Does every password change/reset event generate an audit trail that contains parameters such as Date &amp; Time, User ID &amp; Success or Failure status?</t>
  </si>
  <si>
    <t>Dependency manifests and the npm lockfile catalogue component names and versions.</t>
  </si>
  <si>
    <t>1. The section "7.1.3	Open-Source Products / 3rd Party Products or API" in Architecture document contains this attributes application team should share information about it</t>
  </si>
  <si>
    <t>Multi-factor authentication for sensitive transactions</t>
  </si>
  <si>
    <t>Where unsafe PyTorch models are required, ensure the model is scanned for potentially dangerous Python imports.</t>
  </si>
  <si>
    <t>1. Application team should share code proof that PyTorch is not utilized
2. Incase PyTorch is utilized then proper OSS RFC should be present
3. SCA scan is must to be performed on packages</t>
  </si>
  <si>
    <t>IP based restriction for critical functionality</t>
  </si>
  <si>
    <t>When hosting LLM components within private package registries, ensure the setup is not susceptible to Dependency Confusion attacks.</t>
  </si>
  <si>
    <t>Have you checked that the setup of private package registries is secure enough to prevent Dependency Confusion attacks, which can happen when the system mistakenly uses a malicious package instead of the intended one?
Example: Suppose your organization uses a private package registry to host a library called "my-library." If a public package registry also has a package named "my-library" but with a malicious version, an attacker could publish this malicious package. If your setup does not properly prioritize the private version, the system might accidentally use the public, malicious version instead.
To prevent this, you should ensure that your private package registry is configured to always prioritize packages from the private source and that you regularly audit the packages to confirm they are the correct and safe versions.</t>
  </si>
  <si>
    <t>V8</t>
  </si>
  <si>
    <t>Monitoring &amp; Anomaly Detection</t>
  </si>
  <si>
    <t>Audit-trails and Logging</t>
  </si>
  <si>
    <t>Continuously monitor the usage patterns of LLM applications for anomalies that could indicate security incidents, such as unexpected spikes in usage or deviations from typical output patterns.</t>
  </si>
  <si>
    <t>The observability dashboard continuously records LLM latency, token usage, failures, moderation results, sources, and confidence metrics.</t>
  </si>
  <si>
    <t xml:space="preserve">Have you checked that there is a system that continuously watches how LLM applications are used to spot any unusual activities, like sudden increases in usage or changes in the usual output?
</t>
  </si>
  <si>
    <t>Clock synchronization for all devices and servers</t>
  </si>
  <si>
    <t>Establish logging and alerting mechanisms for events that could suggest prompt leaks, such as the appearance of canary tokens (see 5.7) in logs or unexpected language patterns.</t>
  </si>
  <si>
    <t xml:space="preserve">Have you verified that the logging mechanisms are properly configured to capture all relevant events that could indicate prompt leaks, including the appearance of canary tokens and unexpected language patterns?
</t>
  </si>
  <si>
    <t>C1</t>
  </si>
  <si>
    <t>Capture at least source IP address, timestamp, action owner Id, event Id and resource Id</t>
  </si>
  <si>
    <t>Custom: Secure Configuration &amp; Maintenance</t>
  </si>
  <si>
    <t>Validate Secure Deployment Practices for servers, containers, and network configurations</t>
  </si>
  <si>
    <t>The MCP service defaults to localhost and PostgreSQL runs in a separate container.</t>
  </si>
  <si>
    <t>Whether you have assessed firewall settings, container hardening, and network segmentation to ensure the deployment environment is resilient against common attacks?</t>
  </si>
  <si>
    <t>Differentiate events from errors</t>
  </si>
  <si>
    <t>Verify that integration secrets do not rely on unchanging passwords, such as static API keys or shared privileged accounts</t>
  </si>
  <si>
    <t>An attacker exploits a static API key in a web application to gain unauthorized access to a third-party service, allowing them to manipulate data or extract sensitive information. This vulnerability highlights the need for dynamic authentication methods that regularly refresh to prevent long-term exploitation.</t>
  </si>
  <si>
    <t>Verify that if passwords are required, the credentials are not a default account.</t>
  </si>
  <si>
    <t>Initial application accounts are created only when non-empty, policy-compliant passwords are explicitly configured. However, the local MCP configuration includes known development PostgreSQL credentials.</t>
  </si>
  <si>
    <t>Append only mode for trails and logs</t>
  </si>
  <si>
    <t>Whether you have made sure Application/API is not using the default credentionals.</t>
  </si>
  <si>
    <t>Verify that passwords are stored with sufficient protection to prevent offline recovery attacks, including local system access.</t>
  </si>
  <si>
    <t>User passwords are stored using PBKDF2-HMAC-SHA256 with 600,000 iterations and a unique random 16-byte salt. Password comparison uses constant-time verification.</t>
  </si>
  <si>
    <t>An attacker gains local access to a server and attempts to recover user passwords stored in a database. If the passwords are not properly hashed and salted, the attacker can easily retrieve and use them, compromising user accounts and sensitive data.</t>
  </si>
  <si>
    <t>Use the standard APIs or libraries for logging (such as Log4j, Log4Net)</t>
  </si>
  <si>
    <t>Verify API Authentication mechanisms ensuring that endpoints enforce strict token/key validation</t>
  </si>
  <si>
    <t>Protected API requests require a random server-side session token. Only its SHA-256 hash is stored, and every request validates token existence, expiry, and active-user status. Sessions expire after 12 hours.</t>
  </si>
  <si>
    <t>Whether API requests with invalid or expired tokens are validated every time?</t>
  </si>
  <si>
    <t>Maintain audit-trail for administrative actions separately</t>
  </si>
  <si>
    <t>Verify Role-Based Access Control by attempting privilege escalation across different user roles</t>
  </si>
  <si>
    <t>Two roles exist: Relationship Manager and Credit Analyst. Route-level controls restrict deal ownership, submission, and approval functions.</t>
  </si>
  <si>
    <t>Whether you have validated that users with lower privileges cannot access administrative functions or sensitive configurations meant for higher privileged roles within the application?
Whether there are any specific different roles present?</t>
  </si>
  <si>
    <t>Verify Session Management ensuring secure creation, maintenance, and invalidation of session tokens</t>
  </si>
  <si>
    <t>Sessions use cryptographically random tokens, while only SHA-256 token hashes are stored. Cookies are HTTP-only, SameSite=Lax, secure in production, and expire after 12 hours. Logout removes the session record; password changes/reset invalidate existing sessions.</t>
  </si>
  <si>
    <t>Log sensitive information in encrypted format.</t>
  </si>
  <si>
    <t>Whether you have logged in, forced a session timeout or logout, and confirmed that the session token is invalidated to mitigate session hijacking risks?</t>
  </si>
  <si>
    <t>Is the authentication token or secret protected by using encryption and secure communication channels like HTTPS?</t>
  </si>
  <si>
    <t>Verify that the LLM runs with the least privileges necessary and does not have unnecessary access to system resources and any extra permissions.</t>
  </si>
  <si>
    <t>LLM agents run within Mistral’s hosted environment and only receive scoped document-library access. They have no shell, filesystem, database, or code-execution tools. Fixed agent instructions are separated from user-provided content</t>
  </si>
  <si>
    <t>Whether you have verified that the process runs with minimal permissions required for operation to prevent escalation of attacks, and confirmed that appropriate roles (System, Assistant, and User) are defined?</t>
  </si>
  <si>
    <t>Plan sufficient disk space for logs.</t>
  </si>
  <si>
    <t>C4</t>
  </si>
  <si>
    <t>Custom: Dependency and Component</t>
  </si>
  <si>
    <t>Verify Third-Party Components integration ensuring they are secure, updated, and vulnerability-free</t>
  </si>
  <si>
    <t>Third-party dependencies are documented in Python requirements and npm manifests/lockfiles.</t>
  </si>
  <si>
    <t>Whether you have verified that external libraries and plugins are patched against known vulnerabilities to reduce risk exposure from third-party integrations?</t>
  </si>
  <si>
    <t>Appropriately select logging strategy based on date, user or events.</t>
  </si>
  <si>
    <t>Validate API Rate Limiting mechanisms to mitigate brute-force and denial-of-service attacks</t>
  </si>
  <si>
    <t>Whether any  rate limits are enforced to endpoints and that abusive behavior is throttled or blocked.</t>
  </si>
  <si>
    <t>C5</t>
  </si>
  <si>
    <t>Custom: Monitoring and Anomaly Detection</t>
  </si>
  <si>
    <t>Verify that Error Handling does not disclose sensitive system or configuration details</t>
  </si>
  <si>
    <t>Most authentication and service errors use controlled messages, while unexpected backend errors default to generic HTTP responses.</t>
  </si>
  <si>
    <t xml:space="preserve"> Whether you have induced controlled errors and confirmed that the error messages are generic, without divulging stack traces or internal system details?</t>
  </si>
  <si>
    <t>Periodically analyze logs for anomaly or misbehavior</t>
  </si>
  <si>
    <t>Partially. Session tokens use secure cookies in production, but HTTPS/TLS must be enforced by the production infrastructure.</t>
  </si>
  <si>
    <t>Test Logging and Monitoring to ensure sensitive interactions and anomalies are captured securely</t>
  </si>
  <si>
    <t>Audit entries, moderation results, generation metrics, failures, and traces are recorded.</t>
  </si>
  <si>
    <t>Have you generated both legitimate and malicious requests, and audited the logs to verify that events are recorded without including sensitive input details?</t>
  </si>
  <si>
    <t>Have restricted access for logs.</t>
  </si>
  <si>
    <t>Verify that security logs in place to detect abnormal behavior</t>
  </si>
  <si>
    <t>Individual flagged moderation attempts and failures are logged.</t>
  </si>
  <si>
    <t>Ensure logging mechanisms track suspicious activities like repeated injection attempts.</t>
  </si>
  <si>
    <t>Verify that Prompt Logs should not have any PII, PHI and confidential data</t>
  </si>
  <si>
    <t>Mistral telemetry has redaction enabled. However, full custom instructions and generated narratives are stored as application data</t>
  </si>
  <si>
    <t>If Application team is storing Prompt logs (Prompt query and Prompt response), log should not have sensitive details (PII, PHI and confidential data).</t>
  </si>
  <si>
    <t>Encrypt admin audit-trail and protect it from admin.</t>
  </si>
  <si>
    <t>Verify Incident Response Readiness by simulating security events and verifying alerting and logging mechanisms</t>
  </si>
  <si>
    <t>Example: Conduct a controlled breach scenario to verify that the system triggers alarms, logs events suitably, and facilitates timely incident response and forensic analysis.</t>
  </si>
  <si>
    <t>C6</t>
  </si>
  <si>
    <t>Custom: Data Protection &amp; Sanitization</t>
  </si>
  <si>
    <t>Access Control</t>
  </si>
  <si>
    <t>Validate Data Encryption during transit and at rest for all sensitive communications and stored data</t>
  </si>
  <si>
    <t>Mistral communication uses HTTPS, and passwords/session tokens are protected using hashing.</t>
  </si>
  <si>
    <t>Whether you have examined network traffic to confirm the use of TLS for data in transit and inspected storage mechanisms to ensure encryption is applied to sensitive data?</t>
  </si>
  <si>
    <t>Validate each request for authorization</t>
  </si>
  <si>
    <t>Always rely on Server Side data for access control decisions</t>
  </si>
  <si>
    <t>Offer minimal functionality to anonymous users</t>
  </si>
  <si>
    <t>Is the user prompted to enter Security/Secret question and answer?</t>
  </si>
  <si>
    <t>Create centralized access control system through ACL</t>
  </si>
  <si>
    <t>Provide no privileges to an account when it is first created</t>
  </si>
  <si>
    <t>Classify data to perform Encryption, Hashing, Encoding or Masking</t>
  </si>
  <si>
    <t>Restrict a normal user's access to system resources</t>
  </si>
  <si>
    <t>Is the password reset link shared with users through mail to set their own password?</t>
  </si>
  <si>
    <t>Maintain Audit Trails for sensitive Transactions</t>
  </si>
  <si>
    <t>Generate sensitive content on the fly</t>
  </si>
  <si>
    <t>Implement Operational controls securely</t>
  </si>
  <si>
    <t>Does admin reset the password?</t>
  </si>
  <si>
    <t>Implement alerts and warnings for anomalies &amp; misbehavior</t>
  </si>
  <si>
    <t>Generate unique transaction ids for sensitive transactions</t>
  </si>
  <si>
    <t>Verification &amp; Validation</t>
  </si>
  <si>
    <t>Do not rely/trust on any inputs from user, service or API</t>
  </si>
  <si>
    <t>Use whitelisting over blacklisting</t>
  </si>
  <si>
    <t>Always validate at server side</t>
  </si>
  <si>
    <t>Is OTP validation implemented?</t>
  </si>
  <si>
    <t>Validate source, context, syntax &amp; semantics of data</t>
  </si>
  <si>
    <t>Check length, type, magic number, size for the files</t>
  </si>
  <si>
    <t>Implement Centralized Validation Methods</t>
  </si>
  <si>
    <t>Use standard APIs like ESAPI, AntiSamy etc</t>
  </si>
  <si>
    <t>Check time of validation vs. time of usage</t>
  </si>
  <si>
    <t>Is the admin shared password forced to change on first login?</t>
  </si>
  <si>
    <t>Session Management</t>
  </si>
  <si>
    <t>Establish an appropriate session timeout period</t>
  </si>
  <si>
    <t>After logout do not reuse the same SID for same or other user</t>
  </si>
  <si>
    <t>Is TLSv1.2 or above used for secure communication?</t>
  </si>
  <si>
    <t>Session Identifiers must not be stored in query strings or hidden parameters</t>
  </si>
  <si>
    <t>Session IDs must not be stored in clear text at server</t>
  </si>
  <si>
    <t>Use framework's session manager for session ids</t>
  </si>
  <si>
    <t>Configure different session timeouts for different roles or access areas</t>
  </si>
  <si>
    <t>Renew the SID before a sensitive transaction</t>
  </si>
  <si>
    <t>Don't allow multiple session ids at the same time for the same account</t>
  </si>
  <si>
    <t>Logout user forcefully after a sufficient active period</t>
  </si>
  <si>
    <t>Log all attempts made with invalid Session IDs</t>
  </si>
  <si>
    <t>Error &amp; exception handling</t>
  </si>
  <si>
    <t>Resource specific exception</t>
  </si>
  <si>
    <t>No empty try / catch / finally blocks</t>
  </si>
  <si>
    <t>Are third-party or standard CAPTCHA libraries used?</t>
  </si>
  <si>
    <t>Return value check</t>
  </si>
  <si>
    <t>Display need to know information</t>
  </si>
  <si>
    <t>Is custom code used for CAPTCHA?</t>
  </si>
  <si>
    <t>Error messages sanitation</t>
  </si>
  <si>
    <t>Failures do not expose internal information</t>
  </si>
  <si>
    <t>1.2.1</t>
  </si>
  <si>
    <t>Is CAPTCHA generation logic available on the server side?</t>
  </si>
  <si>
    <t>Use error code book</t>
  </si>
  <si>
    <t>Centrally managing error and exceptions</t>
  </si>
  <si>
    <t>Rollback to secure state during crash or function failure</t>
  </si>
  <si>
    <t>Alarm when exception in critical transaction</t>
  </si>
  <si>
    <t>Multifactor authentication for sensitive transactions</t>
  </si>
  <si>
    <t>Does the application involve sensitive transactions (like changing the shipping address for a purchase, or delegation of duties etc)?</t>
  </si>
  <si>
    <t>Data Security &amp; Privacy</t>
  </si>
  <si>
    <t>Collect end user data only if absolutely necessary and relevant</t>
  </si>
  <si>
    <t>Take users consent for data collection, retention, process, storage &amp; sharing</t>
  </si>
  <si>
    <t>All requests containing data must use POST Method</t>
  </si>
  <si>
    <t>Disable client side caching for sensitive information</t>
  </si>
  <si>
    <t>Perform periodic VA &amp; PT of the systems, network and application</t>
  </si>
  <si>
    <t>Securely export data in reports, print records, receipts, invoices, etc.</t>
  </si>
  <si>
    <t>Is the user re-authenticated or verified through Profile Passwords or OTP mechanism?</t>
  </si>
  <si>
    <t>Choose strong encryption, masking or tokenisation</t>
  </si>
  <si>
    <t>Ensure right level of data access in creating, reading, altering or deleting</t>
  </si>
  <si>
    <t>Use OS specific mechanism for key management</t>
  </si>
  <si>
    <t>Transport Layer Protection</t>
  </si>
  <si>
    <t>Use Strong Keys &amp; Protect Them</t>
  </si>
  <si>
    <t>Does the application have critical functionalities like admin setting certain role entitlements or payment configuration etc?</t>
  </si>
  <si>
    <t>Use Fully Qualified Names in Certificates</t>
  </si>
  <si>
    <t>Use "Secure" Cookie Flag</t>
  </si>
  <si>
    <t>Keep Sensitive Data Out of the URL</t>
  </si>
  <si>
    <t>Is IP based restriction enabled for accessing such functionality?</t>
  </si>
  <si>
    <t>Use a Certificate supporting required Domain Names</t>
  </si>
  <si>
    <t>Do Not Use Wildcard Certificates</t>
  </si>
  <si>
    <t>Do Not Provide Non-TLS Pages for Secure Content</t>
  </si>
  <si>
    <t>Use an Appropriate Certification Authority</t>
  </si>
  <si>
    <t>Audit trails and logging</t>
  </si>
  <si>
    <t>Only Support Strong Protocols</t>
  </si>
  <si>
    <t>Use HTTP Strict Transport Security &amp; Public Key Pinning</t>
  </si>
  <si>
    <t>Clock synchronization for all devices and servers.</t>
  </si>
  <si>
    <t>Does the application have the time synchronised with NTP, other applications and systems?</t>
  </si>
  <si>
    <t>Do Not Mix TLS and Non-TLS Content</t>
  </si>
  <si>
    <t>Yes</t>
  </si>
  <si>
    <t>Business Logic Security</t>
  </si>
  <si>
    <t>Identify Business Rules separately</t>
  </si>
  <si>
    <t>Derive Test/Abuse Cases</t>
  </si>
  <si>
    <t>Do not allow any backdoor entries</t>
  </si>
  <si>
    <t>Capture at least source IP address, timestamp, action owner Id, event Id and resource Id.</t>
  </si>
  <si>
    <t>Are the source IP address, timestamp, action owner ID, event ID, and resource ID captured in the logs?</t>
  </si>
  <si>
    <t>Perform Sanity Checks</t>
  </si>
  <si>
    <t>Partially. Audit records capture timestamp, event ID, user ID, action, and deal/resource ID, but not source IP address.</t>
  </si>
  <si>
    <t>Do not make requests guessable</t>
  </si>
  <si>
    <t>Do not complicate implementation</t>
  </si>
  <si>
    <t>Differentiate events from errors.</t>
  </si>
  <si>
    <t>Does the application differentiate events from errors?</t>
  </si>
  <si>
    <t>Check for required accuracy and completeness</t>
  </si>
  <si>
    <t>Yes. Standard log levels such as INFO, WARNING, and ERROR differentiate operational events from errors.</t>
  </si>
  <si>
    <t>Track the assets or inventory on regular frequency</t>
  </si>
  <si>
    <t>Append only mode for trails and logs.</t>
  </si>
  <si>
    <t>Are audit trails and logs configured with append only mode?</t>
  </si>
  <si>
    <t>Clearly define accountability for systems executing the logic</t>
  </si>
  <si>
    <t>Safe UUID, Random Numbers Generation</t>
  </si>
  <si>
    <t>Prevent Brute Forcing or guessing attempts</t>
  </si>
  <si>
    <t>Use the standard APIs or libraries for logging.</t>
  </si>
  <si>
    <t>Defense in Depth</t>
  </si>
  <si>
    <t>Insist acknowledgment</t>
  </si>
  <si>
    <t>Changes in logic must be approved at all levels</t>
  </si>
  <si>
    <t>Limit the use of resources by priority</t>
  </si>
  <si>
    <t>Yes. The backend uses Python’s standard logging library and OpenTelemetry-based tracing.</t>
  </si>
  <si>
    <t>Cryptography</t>
  </si>
  <si>
    <t>Avoid using home-grown cryptographic algorithms</t>
  </si>
  <si>
    <t>Use strong keys &amp; secure storage</t>
  </si>
  <si>
    <t>Use different keys for different applications</t>
  </si>
  <si>
    <t>Mandate activation for each key for limited period</t>
  </si>
  <si>
    <t>Is a seperate audit trail maintained for administrative actions?</t>
  </si>
  <si>
    <t>Deploy key manager for key generation, activation, storage, distribution, renewal, deactivation, recovery, deletion and define interface</t>
  </si>
  <si>
    <t>Privilege Management</t>
  </si>
  <si>
    <t>Set most restrictive permissions for software during installations</t>
  </si>
  <si>
    <t>Determine minimum privilege level required for execution of each software component and operation</t>
  </si>
  <si>
    <t>Do not run any software with Root or administrator</t>
  </si>
  <si>
    <t>Policy that specifies how super user accounts will be managed</t>
  </si>
  <si>
    <t>Identify need for trust zones</t>
  </si>
  <si>
    <t>Is sensitive information logged?</t>
  </si>
  <si>
    <t>Identify different permissions for each resource such as read/write/execute</t>
  </si>
  <si>
    <t>Log all privilege management events</t>
  </si>
  <si>
    <t>During operation with elevated privilege, raise privileges as late as possible and immediately drop once operation is done</t>
  </si>
  <si>
    <t>Inventory privileged accounts periodically</t>
  </si>
  <si>
    <t>Is the sensitive information logged in an encrypted format?</t>
  </si>
  <si>
    <t>Resource Management &amp; Synchronization</t>
  </si>
  <si>
    <t>During declaration, initialize all variables with accepted default values</t>
  </si>
  <si>
    <t>Set all the parameters as default false</t>
  </si>
  <si>
    <t>Do not take values for variable initiation as is from users</t>
  </si>
  <si>
    <t>Avoid performing complex calculations during initialization</t>
  </si>
  <si>
    <t>Is the disk space managed (through periodic backup of log) so that adequate space is available for logging?</t>
  </si>
  <si>
    <t>Release all resources when they are no longer required</t>
  </si>
  <si>
    <t>Use technologies that perform automatic garbage collection</t>
  </si>
  <si>
    <t>Is date-wise logging strategy followed?</t>
  </si>
  <si>
    <t>Ensure that all pointers are set to NULL post release</t>
  </si>
  <si>
    <t>Partially. Logs contain timestamps</t>
  </si>
  <si>
    <t>Avoid declaring Global, Public or static variables</t>
  </si>
  <si>
    <t>Is user-wise logging strategy followed?</t>
  </si>
  <si>
    <t>For Multi-threading applications, use synchronization primitives</t>
  </si>
  <si>
    <t>Use thread-safe functions on shared variables</t>
  </si>
  <si>
    <t>Partially. Deal audit records capture the action owner</t>
  </si>
  <si>
    <t>Ensure that code does not go in large or infinite loop</t>
  </si>
  <si>
    <t>Is event-wise logging strategy followed?</t>
  </si>
  <si>
    <t>Perform SAST &amp; Code Walk-through</t>
  </si>
  <si>
    <t>Avoid compiler optimization for threaded code</t>
  </si>
  <si>
    <t>Yes, partially. Audit records contain an action type, and system logs use severity levels.</t>
  </si>
  <si>
    <t>Heed Compiler Warnings</t>
  </si>
  <si>
    <t>Are logs analyzed periodically for anomalies or misbehaviours?</t>
  </si>
  <si>
    <t>Is it done through an automated program?</t>
  </si>
  <si>
    <t>Partially implemented. The observability dashboard automatically collects and displays LLM usage, latency, failures, moderation, and token metrics.</t>
  </si>
  <si>
    <t>Is access to logs restricted to support team or admin team?</t>
  </si>
  <si>
    <t>Partially. Server-log access depends on infrastructure permissions; the application does not enforce support/admin-only access. The observability page is available to authenticated users.</t>
  </si>
  <si>
    <t>Is the admin audit-trail encrypted and protected from the admin?</t>
  </si>
  <si>
    <t>Access control</t>
  </si>
  <si>
    <t>Is every request checked for authorization before accessing a page?</t>
  </si>
  <si>
    <t>Yes, for protected APIs. Authentication and role/deal-level authorization are checked before protected resources are accessed. Login, registration, password reset, and health-check endpoints are public.</t>
  </si>
  <si>
    <t>Are access control decisions always based on server side data?</t>
  </si>
  <si>
    <t>Yes. Access-control decisions are enforced by the backend using the authenticated session, user role, and deal ownership.</t>
  </si>
  <si>
    <t>Does the application have any anonymous users?</t>
  </si>
  <si>
    <t>Does the application offer minimal functionality to the anonymous users?</t>
  </si>
  <si>
    <t>Implemented. Anonymous access is limited to authentication functions and the health endpoint. All deal, document, LLM-generation, review, and export functions require an authenticated session.</t>
  </si>
  <si>
    <t>Does the application have centralized access control system through ACL?</t>
  </si>
  <si>
    <t>Partially. Server-side access control is centralized using role-based authorization and deal ownership.</t>
  </si>
  <si>
    <t>Are privileges provided incrementally after creating the user intitially with zero privileges?</t>
  </si>
  <si>
    <t>Does the application classify the data and perform Encryption/Hashing/Encoding or Masking on respective requirements for the data at rest and in transit?</t>
  </si>
  <si>
    <t>Partially. Passwords are salted and hashed</t>
  </si>
  <si>
    <t>Are the system resources restricted from normal users and is based on the need?</t>
  </si>
  <si>
    <t>Partially. Server-side roles and deal ownership restrict core resources,</t>
  </si>
  <si>
    <t>Are audit trails maintained for sensitive transactions?</t>
  </si>
  <si>
    <t>Database audit entries record deal creation/updates, narrative generation and version actions, submissions, approvals/denials, and exports.</t>
  </si>
  <si>
    <t>Does the application generate any sensitive content like OTP or payment transaction ID etc?</t>
  </si>
  <si>
    <t>Are the sensitive content generated on the fly and transmitted directly to the browser rather than saving it in the web server's file system?</t>
  </si>
  <si>
    <t>PDF, DOCX, and PPTX reports are generated in memory and streamed directly to the browser without saving export files locally. Generated narratives are retained in the database, and uploaded source documents are stored on the application filesystem.</t>
  </si>
  <si>
    <t>Are the operational controls implemented securely?</t>
  </si>
  <si>
    <t>Partially. Health checks, processing limits, role controls, and error handling exist</t>
  </si>
  <si>
    <t>Are alerts and warnings implemented for anomalies &amp; misbehaviour?</t>
  </si>
  <si>
    <t>Are unique transaction IDs generated for sensitive transactions?</t>
  </si>
  <si>
    <t>Unique UUID-based identifiers are generated for deals, sessions, audit entries, uploads, and narrative/review versions.</t>
  </si>
  <si>
    <t>Verification and validation</t>
  </si>
  <si>
    <t>Are the inputs from user, service or API used only after validating the input data?</t>
  </si>
  <si>
    <t>Input types, formats, lengths, roles, and URLs are validated</t>
  </si>
  <si>
    <t>Is whitelisting pattern used while validating for malicious content instead of using blacklisting pattern?</t>
  </si>
  <si>
    <t>Allow-lists are used for roles, URL schemes, source types, and some file extensions.</t>
  </si>
  <si>
    <t>Is validation done at server side?</t>
  </si>
  <si>
    <t>Backend schemas and validation logic enforce input rules independently of frontend checks.</t>
  </si>
  <si>
    <t>Is the source, context, syntax &amp; semantics of data validated?</t>
  </si>
  <si>
    <t>Format and business-rule checks exist</t>
  </si>
  <si>
    <t>Are file being processed by the application?</t>
  </si>
  <si>
    <t>Yes, files are processed</t>
  </si>
  <si>
    <t>Is the file type, length, magic number &amp; size checked for the file?</t>
  </si>
  <si>
    <t>Are there any centralized methods implemented for validation?</t>
  </si>
  <si>
    <t>Partially. Reusable Pydantic schemas and shared validation functions are used</t>
  </si>
  <si>
    <t>Are standard APIs like ESAPI or Antisamy or apache commons validator used for verification and validation?</t>
  </si>
  <si>
    <t>Yes. The application uses FastAPI and Pydantic for validation</t>
  </si>
  <si>
    <r>
      <rPr>
        <rFont val="Calibri"/>
        <color theme="1"/>
        <sz val="9.0"/>
      </rPr>
      <t>Whi</t>
    </r>
    <r>
      <rPr>
        <rFont val="Calibri"/>
        <strike/>
        <color theme="1"/>
        <sz val="9.0"/>
      </rPr>
      <t>i</t>
    </r>
    <r>
      <rPr>
        <rFont val="Calibri"/>
        <color theme="1"/>
        <sz val="9.0"/>
      </rPr>
      <t>le updating the data, does the application always validates the data or locks the data?</t>
    </r>
  </si>
  <si>
    <t>Update requests undergo server-side validation</t>
  </si>
  <si>
    <t>Does the application has session timeout configured?</t>
  </si>
  <si>
    <t>Yes. Authenticated sessions expire after 12 hours</t>
  </si>
  <si>
    <t>Is it ensured to have session timeout configured for max 30 mins?</t>
  </si>
  <si>
    <t>1.1.1</t>
  </si>
  <si>
    <t>Is the session invalidated on time out?</t>
  </si>
  <si>
    <t>Implemented. Expired sessions are rejected and removed from the database when subsequently presented to the application.</t>
  </si>
  <si>
    <t>Are the session IDs deleted after logout?</t>
  </si>
  <si>
    <t>Yes. The active server-side session is deleted and the browser cookie is cleared.</t>
  </si>
  <si>
    <t>Are session identifiers stored in query strings or hidden parameters?</t>
  </si>
  <si>
    <t>Yes. Session identifiers are stored only in cookies, not in query strings or hidden parameters.</t>
  </si>
  <si>
    <t>Are session identifiers or tokens stored securely at server.</t>
  </si>
  <si>
    <t>Yes. Only a SHA-256 hash of the session token is stored in the database; the raw token is not stored server-side.</t>
  </si>
  <si>
    <t>Are session identifiers or tokens stored in persistent storage?</t>
  </si>
  <si>
    <t>Implemented. Session tokens are persisted only as SHA-256 hashes in the auth_sessions database table; raw tokens are not stored server-side.</t>
  </si>
  <si>
    <t>Are session identifiers or tokens stored in server in-memory?</t>
  </si>
  <si>
    <t>Are session identifiers or tokens removed from the persistent storage on invalidation of the user session?</t>
  </si>
  <si>
    <t>Implemented. Session records are deleted on logout, when an expired token is presented, and during applicable password-change/reset invalidation.</t>
  </si>
  <si>
    <t>Are the session identifier (SID) generated with appropriate randomness and length using the framework's session manager rather than creating a weak SID using a home-grown algorithm?</t>
  </si>
  <si>
    <t>Partially. The application uses a custom server-side session mechanism rather than FastAPI’s session manager, but tokens are securely generated using Python’s cryptographic secrets.token_urlsafe(48) function.</t>
  </si>
  <si>
    <t>Are different session time out periods configured for different types of roles or access areas (e.g., Administrators would have shorter session time out period compared to other roles. Person accessing the application over internet would have shorter session time out period compared to person accessing the same application within Intranet)?</t>
  </si>
  <si>
    <t>Are SIDs renewed before a sensitive transaction?</t>
  </si>
  <si>
    <t>Are multiple session IDs allowed for same account at the same time?</t>
  </si>
  <si>
    <t>Is the user loggedout forcefully after sufficient active period?</t>
  </si>
  <si>
    <t>Implemented. Sessions have an absolute 12-hour expiry. Expired sessions are rejected and removed when subsequently used.</t>
  </si>
  <si>
    <t>Are all attempts made with invalid session IDs logged?</t>
  </si>
  <si>
    <t>Error and exception handling</t>
  </si>
  <si>
    <t>Does the application address specific exception instead of addressing generic exception (like DBAccessException over Exception) with the aid of appropriate exception ?</t>
  </si>
  <si>
    <t>Partially. Specific exceptions are used in some paths, but several generic Exception handlers remain.</t>
  </si>
  <si>
    <t>Does the application ensure that there are no empty try / catch / finally blocks?</t>
  </si>
  <si>
    <t>Is the return value checked on every function?</t>
  </si>
  <si>
    <t>Partially. Important results are generally checked</t>
  </si>
  <si>
    <t>Is the need to know or actionable information disclosed to the  user?</t>
  </si>
  <si>
    <t>Partially. Most messages are actionable</t>
  </si>
  <si>
    <t>Is the application server configured with default error handler that returns an appropriately sanitised error message for all error paths?</t>
  </si>
  <si>
    <t>Partially. FastAPI provides default error handling, but certain custom paths return raw exception text.</t>
  </si>
  <si>
    <t>In the event of a failure, is any information (like verbose messages, stack traces, or path details) exposed that could lead to information disclosure?</t>
  </si>
  <si>
    <t>Is an"Error code book" constructed for unique error messages with error code for error logging.</t>
  </si>
  <si>
    <t>Is centralised error and exception management strategy deployed?</t>
  </si>
  <si>
    <t>Framework-level handling exists</t>
  </si>
  <si>
    <t>In case the system crashes or any critical function fails, are the changes undone and system is restored to a secure state? Are all transactions rolledback?</t>
  </si>
  <si>
    <t>. Database sessions provide transaction boundaries and some explicit rollbacks</t>
  </si>
  <si>
    <t>Are alarms generated for sequential exceptions in critical transactions (alarm can include fields like user, transaction IDs, time, type of validation etc.)?</t>
  </si>
  <si>
    <t>Data security and privacy</t>
  </si>
  <si>
    <t>Does the application collect any sensitive end user data?</t>
  </si>
  <si>
    <t>Yes, minimally. The application collects user ID, password, role, and session data for authentication. Passwords are stored only as salted hashes</t>
  </si>
  <si>
    <t>Does the application store the data collected from the end user?</t>
  </si>
  <si>
    <t>Yes. The application stores user account details, deal information, uploaded sources, custom instructions, generated narratives, reviews, and audit records.</t>
  </si>
  <si>
    <t>Is the collected data encrypted before storing?</t>
  </si>
  <si>
    <t>Passwords and session tokens are protected using hashing.</t>
  </si>
  <si>
    <t xml:space="preserve">Take users consent for data collection, retention, process, storage &amp; sharing </t>
  </si>
  <si>
    <t>Is explicit consent taken from the users for collection, retention, processing, storage &amp; sharing of data?</t>
  </si>
  <si>
    <t>Does the application use POST method for requests containing data and rejects GET requests for such cases?</t>
  </si>
  <si>
    <t>Yes, for state changes. The application uses POST, PATCH, and DELETE for data-changing operations; GET endpoints are read-only.</t>
  </si>
  <si>
    <t xml:space="preserve">Does the application ensure client side caching is disabled for sensitive information (including autocomplete feature in web application forms)? </t>
  </si>
  <si>
    <t>Is VA &amp; PT done regulary for the systems, networks and application?</t>
  </si>
  <si>
    <t>Does the application take care of necessary Data Security controls while exporting the data in events such as  generating reports, printing any page/records, generating any receipts or invoices etc?</t>
  </si>
  <si>
    <t>Partially. Exports require authorization and are audited, but encryption, watermarking, classification, and download-control policies are not implemented.</t>
  </si>
  <si>
    <r>
      <rPr>
        <rFont val="Calibri"/>
        <color theme="1"/>
        <sz val="9.0"/>
      </rPr>
      <t>Does the application ensure that the approach of either data encryption, data masking or tokenisation is well thought and approved of</t>
    </r>
    <r>
      <rPr>
        <rFont val="Calibri"/>
        <strike/>
        <color theme="1"/>
        <sz val="9.0"/>
      </rPr>
      <t>f</t>
    </r>
    <r>
      <rPr>
        <rFont val="Calibri"/>
        <color theme="1"/>
        <sz val="9.0"/>
      </rPr>
      <t xml:space="preserve"> to cater to the present and future security requirements?</t>
    </r>
  </si>
  <si>
    <t>Are appropriate Access Control List created to ensure the right level of data access for creating, reading, altering or deleting?</t>
  </si>
  <si>
    <t>Role and deal-ownership controls restrict core operations</t>
  </si>
  <si>
    <t>Are OS specific mechanisms used for key management (like DPAPI for windows and KeyChain for MAC)?</t>
  </si>
  <si>
    <t>Transport Layer protection</t>
  </si>
  <si>
    <t>Are the keys used for encryption strong and stored in a secure location?</t>
  </si>
  <si>
    <t>Partially. Cryptographically secure values are generated, but application/API secrets are environment-based and not integrated with an enterprise key vault.</t>
  </si>
  <si>
    <t>Does the application use fully qualified domain names for certificates?</t>
  </si>
  <si>
    <t>Does the application uses cookies"</t>
  </si>
  <si>
    <t>Yes. The application uses session cookies with HttpOnly and SameSite=Lax</t>
  </si>
  <si>
    <t>Does the application use "secure" cookie flag?</t>
  </si>
  <si>
    <t>Is sensitive data kept out of the URL?</t>
  </si>
  <si>
    <t>resource identifiers and non-sensitive routing parameters are used.</t>
  </si>
  <si>
    <t>Does the application use certificate supporting required domain names?</t>
  </si>
  <si>
    <t>Does the application use any wild card certificates?</t>
  </si>
  <si>
    <t>Does the application have any non-TLS pages?</t>
  </si>
  <si>
    <t>Does the application ensures that no non-TLS pages can access secure contents?</t>
  </si>
  <si>
    <t>Does the application use appropriate certification authority?</t>
  </si>
  <si>
    <t>Does the application support only strong protocols?</t>
  </si>
  <si>
    <t>Does the application use HTTP Strict Transport Security &amp; Public Key Pinning?</t>
  </si>
  <si>
    <t>Are TLS and non-TLS pages seperated?</t>
  </si>
  <si>
    <t>Business logic security</t>
  </si>
  <si>
    <t>Are business rules identified seperately?</t>
  </si>
  <si>
    <t>Partially. Business logic is mainly separated into service, schema, and authorization layers, but some remains in API routes.</t>
  </si>
  <si>
    <t>Does the test cases include negative or abuse cases derived from functional requirements?</t>
  </si>
  <si>
    <t>Does the application ensure that backdoor entries are not allowed?</t>
  </si>
  <si>
    <t>Partially. No intentional backdoor was identified, but self-registration and the unverified password-reset flow create unauthorized-access risks.</t>
  </si>
  <si>
    <t>Are sanity checks performed?</t>
  </si>
  <si>
    <t>Partially. Schema validation, moderation, and accuracy checks exist, but coverage is not comprehensive.</t>
  </si>
  <si>
    <t xml:space="preserve">1
</t>
  </si>
  <si>
    <t>Does the application make sure that no sensitive data is disclosed in the URL making the request guessable?</t>
  </si>
  <si>
    <t>Partially. Credentials and tokens are excluded from URLs, but some resource identifiers use shortened UUIDs. Server-side authorization mitigates direct access.</t>
  </si>
  <si>
    <t xml:space="preserve">Do not complicate implementation </t>
  </si>
  <si>
    <t>Does the code have limited complexity?</t>
  </si>
  <si>
    <t>Partially. The code is modular, but some routes and services are large and complex.</t>
  </si>
  <si>
    <t>Is the Business logic in application checked for accuracy &amp; completeness?</t>
  </si>
  <si>
    <t>Partially. Automated accuracy checks, versioning, and human review exist, but formal business-rule validation is incomplete.</t>
  </si>
  <si>
    <t>Is asset inventory tracked on periodic basis?</t>
  </si>
  <si>
    <t>Is accountability of systems executing the logic defined?</t>
  </si>
  <si>
    <t>Partially. Roles and action owners are recorded for core deal activities, but formal system ownership is not fully documented.</t>
  </si>
  <si>
    <t xml:space="preserve">Safe UUID, Random Numbers Generation </t>
  </si>
  <si>
    <t xml:space="preserve">Are UUID and random numbers generated according to the business standards? </t>
  </si>
  <si>
    <t>Partially. UUID4 and cryptographic randomness are used, but several business-resource IDs use truncated UUID values.</t>
  </si>
  <si>
    <t>Does the application take measures to prevent Brute Forcing or guessing attempts such as account lockout or blocking IP address?</t>
  </si>
  <si>
    <t>Defence in Depth</t>
  </si>
  <si>
    <t>Are defence mechanisms implemented at each layer of the application? i.e., validations at both server and client side, Firewall, Web Application Firewall, etc.?</t>
  </si>
  <si>
    <t>Partially. Client/server validation, authentication, authorization, secure cookies, moderation, and database controls exist. Network firewall, WAF, rate limiting, IDS/IPS, and centralized security monitoring depend on production infrastructure and are not currently implemented.</t>
  </si>
  <si>
    <t>Insist acknowledgement</t>
  </si>
  <si>
    <t>Is user acknowledgmen sought before confirming critical transaction?</t>
  </si>
  <si>
    <t xml:space="preserve">Changes in logic must be approved at all levels </t>
  </si>
  <si>
    <t>Are changes in logic approved at all levels?</t>
  </si>
  <si>
    <t>Is use of resources limited by priority?</t>
  </si>
  <si>
    <t>Partially. Concurrent AI-processing tasks are limited using semaphores, but priority-based resource allocation or queuing is not implemented.</t>
  </si>
  <si>
    <t xml:space="preserve">Avoid using home-grown cryptographic algorithms </t>
  </si>
  <si>
    <r>
      <rPr>
        <rFont val="Calibri"/>
        <color theme="1"/>
        <sz val="9.0"/>
      </rPr>
      <t>Does the application store</t>
    </r>
    <r>
      <rPr>
        <rFont val="Calibri"/>
        <strike/>
        <color theme="1"/>
        <sz val="9.0"/>
      </rPr>
      <t>s</t>
    </r>
    <r>
      <rPr>
        <rFont val="Calibri"/>
        <color theme="1"/>
        <sz val="9.0"/>
      </rPr>
      <t xml:space="preserve"> system secrets like DB password or FTP credentials or any such system secrets or any sensitive data (Personal sensitive data or business sensitive data) in an encrypted format?</t>
    </r>
  </si>
  <si>
    <t>Partially. User passwords are salted and hashed using standard PBKDF2-HMAC-SHA256</t>
  </si>
  <si>
    <r>
      <rPr>
        <rFont val="Calibri"/>
        <color theme="1"/>
        <sz val="9.0"/>
      </rPr>
      <t>Does the application use</t>
    </r>
    <r>
      <rPr>
        <rFont val="Calibri"/>
        <strike/>
        <color theme="1"/>
        <sz val="9.0"/>
      </rPr>
      <t>s</t>
    </r>
    <r>
      <rPr>
        <rFont val="Calibri"/>
        <color theme="1"/>
        <sz val="9.0"/>
      </rPr>
      <t xml:space="preserve"> encryption algorithms like AES256 with GCM encryption mode?</t>
    </r>
  </si>
  <si>
    <t>Are the keys stored in key vaults or key stores?</t>
  </si>
  <si>
    <t xml:space="preserve">Use different keys for different applications </t>
  </si>
  <si>
    <t>Does the application have any child apps?</t>
  </si>
  <si>
    <t>Does the child application store any sensitive data?</t>
  </si>
  <si>
    <t>Does the child application use different  keys than the parent application?</t>
  </si>
  <si>
    <t>Are the keys rotated every 30-90 days?</t>
  </si>
  <si>
    <t>Does the application use any standard key management solution like key vault or key store?</t>
  </si>
  <si>
    <t>Privilege management</t>
  </si>
  <si>
    <t>Are most restrictive permissions set for software during installations?</t>
  </si>
  <si>
    <t>Are minimum privilege levels determined for required execution of each software component and operation?</t>
  </si>
  <si>
    <t>Application roles are defined</t>
  </si>
  <si>
    <t>Does the application run as a non-root user?</t>
  </si>
  <si>
    <t>Does a policy specifying how super user accounts will be managed exist?</t>
  </si>
  <si>
    <t>Is the application deployed in a trusted zone?</t>
  </si>
  <si>
    <t>Does the application identify different permissions for each resource such as read/write/execute?</t>
  </si>
  <si>
    <t>Partially. Application-level roles restrict business operations, but explicit OS-level read/write/execute permissions are not defined.</t>
  </si>
  <si>
    <t>Are all the privilege management events logged?</t>
  </si>
  <si>
    <t>Does the application have operations dealing with elevated privileges?</t>
  </si>
  <si>
    <t>Are the privileges raised as late as possible and immediately droped once operation is done?</t>
  </si>
  <si>
    <t>Are privileged accounts revised periodically?</t>
  </si>
  <si>
    <t>Resource Management and synchronisation</t>
  </si>
  <si>
    <t>During declaration, initialise all variables with accepted default values</t>
  </si>
  <si>
    <t>Are all the variables initialized with accepted default values during declartion?</t>
  </si>
  <si>
    <t>Models and schemas define defaults</t>
  </si>
  <si>
    <t>Are all the parameters set to 'false' by default?</t>
  </si>
  <si>
    <t>Do not take values for variable initiation as it is from users</t>
  </si>
  <si>
    <t xml:space="preserve">Does the application take user input as it is for the variables initiation? </t>
  </si>
  <si>
    <t>Partially. User input is used only after schema and server-side validation, though validation coverage requires further hardening.</t>
  </si>
  <si>
    <t xml:space="preserve">Avoid performing complex calculations during initialization </t>
  </si>
  <si>
    <t>Are complex calculations avoided during initialization?</t>
  </si>
  <si>
    <t>Yes, generally. Complex calculations are avoided, although startup performs database, telemetry, and external-service initialization.</t>
  </si>
  <si>
    <t>Are all resources released when they are no longer required?</t>
  </si>
  <si>
    <t>Partially. Database sessions and service connections are normally closed, but consistent cleanup across every failure path is not guaranteed.</t>
  </si>
  <si>
    <t>Yes. Python and JavaScript provide automatic memory management and garbage collection.</t>
  </si>
  <si>
    <t>Are all the objects nullified post release?</t>
  </si>
  <si>
    <t>Are pointers being used?</t>
  </si>
  <si>
    <t>Are all pointers are set to NULL post release?</t>
  </si>
  <si>
    <t xml:space="preserve">Avoid declaring Global, Public or static variables </t>
  </si>
  <si>
    <t>Does the application use any global, public or static variables?</t>
  </si>
  <si>
    <t>Yes. Module-level constants, caches, agent registries, and in-memory job state are used. Shared mutable state should be minimized for production.</t>
  </si>
  <si>
    <t>For Multithreading applications, use synchronization primitives</t>
  </si>
  <si>
    <t>Is it a multithreading application?</t>
  </si>
  <si>
    <t>Does the application use synchronization primitives?</t>
  </si>
  <si>
    <t>Implemented for concurrent operations. An asyncio.Lock protects shared agent-library binding, and semaphores limit concurrent orchestration, generation, and evaluation tasks.</t>
  </si>
  <si>
    <t>Does the application use thread-safe funtions?</t>
  </si>
  <si>
    <t>Does the application ensure that code does not go into a large or an infinite loop?</t>
  </si>
  <si>
    <t>Partially. Processing limits, timeouts, bounded retries, and concurrency controls exist,</t>
  </si>
  <si>
    <t xml:space="preserve">Perform SAST &amp; Code Walkthrough </t>
  </si>
  <si>
    <t>Are SAST and Code walkthroughs done regularly?</t>
  </si>
  <si>
    <t>Avoid compiler optimisation for threaded code</t>
  </si>
  <si>
    <t>Is compiler optimisation avoided?</t>
  </si>
  <si>
    <t>Are compiler warnings taken care of?</t>
  </si>
  <si>
    <t>Partially. TypeScript linting and build checks are available, but there is no documented process confirming that all compiler, linting, and static-analysis warnings are reviewed and resolved.</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</si>
</sst>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Calibri"/>
      <scheme val="minor"/>
    </font>
    <font>
      <b/>
      <sz val="10.0"/>
      <color theme="0"/>
      <name val="Calibri"/>
    </font>
    <font>
      <b/>
      <sz val="10.0"/>
      <color theme="1"/>
      <name val="Calibri"/>
    </font>
    <font>
      <sz val="11.0"/>
      <color theme="1"/>
      <name val="Calibri"/>
    </font>
    <font/>
    <font>
      <b/>
      <sz val="14.0"/>
      <color theme="1"/>
      <name val="Calibri"/>
    </font>
    <font>
      <b/>
      <sz val="11.0"/>
      <color rgb="FFFFFFFF"/>
      <name val="Calibri"/>
    </font>
    <font>
      <sz val="14.0"/>
      <color theme="1"/>
      <name val="Calibri"/>
    </font>
    <font>
      <sz val="9.0"/>
      <color theme="1"/>
      <name val="Calibri"/>
    </font>
    <font>
      <sz val="10.0"/>
      <color theme="1"/>
      <name val="Calibri"/>
    </font>
    <font>
      <color theme="1"/>
      <name val="Calibri"/>
      <scheme val="minor"/>
    </font>
    <font>
      <b/>
      <sz val="11.0"/>
      <color theme="1"/>
      <name val="Calibri"/>
    </font>
    <font>
      <sz val="9.0"/>
      <color rgb="FF000000"/>
      <name val="Calibri"/>
    </font>
    <font>
      <sz val="10.0"/>
      <color rgb="FF000000"/>
      <name val="Calibri"/>
    </font>
    <font>
      <b/>
      <sz val="11.0"/>
      <color theme="0"/>
      <name val="Calibri"/>
    </font>
    <font>
      <sz val="9.0"/>
      <color rgb="FF444444"/>
      <name val="Calibri"/>
    </font>
  </fonts>
  <fills count="8">
    <fill>
      <patternFill patternType="none"/>
    </fill>
    <fill>
      <patternFill patternType="lightGray"/>
    </fill>
    <fill>
      <patternFill patternType="solid">
        <fgColor rgb="FFE41165"/>
        <bgColor rgb="FFE41165"/>
      </patternFill>
    </fill>
    <fill>
      <patternFill patternType="solid">
        <fgColor rgb="FFF2F2F2"/>
        <bgColor rgb="FFF2F2F2"/>
      </patternFill>
    </fill>
    <fill>
      <patternFill patternType="solid">
        <fgColor rgb="FF595959"/>
        <bgColor rgb="FF595959"/>
      </patternFill>
    </fill>
    <fill>
      <patternFill patternType="solid">
        <fgColor rgb="FFECECEC"/>
        <bgColor rgb="FFECECEC"/>
      </patternFill>
    </fill>
    <fill>
      <patternFill patternType="solid">
        <fgColor rgb="FFA9D08E"/>
        <bgColor rgb="FFA9D08E"/>
      </patternFill>
    </fill>
    <fill>
      <patternFill patternType="solid">
        <fgColor rgb="FFD9D9D9"/>
        <bgColor rgb="FFD9D9D9"/>
      </patternFill>
    </fill>
  </fills>
  <borders count="26">
    <border/>
    <border>
      <left style="thin">
        <color rgb="FF000000"/>
      </left>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top/>
      <bottom style="thin">
        <color rgb="FF000000"/>
      </bottom>
    </border>
    <border>
      <right/>
      <top/>
      <bottom style="thin">
        <color rgb="FF000000"/>
      </bottom>
    </border>
    <border>
      <left/>
      <top/>
      <bottom/>
    </border>
    <border>
      <top/>
      <bottom/>
    </border>
    <border>
      <right style="thin">
        <color rgb="FF000000"/>
      </right>
      <top style="thin">
        <color rgb="FF000000"/>
      </top>
      <bottom style="thin">
        <color rgb="FF000000"/>
      </bottom>
    </border>
    <border>
      <right/>
      <top/>
      <bottom/>
    </border>
    <border>
      <left style="thin">
        <color rgb="FF000000"/>
      </left>
      <right/>
      <top style="thin">
        <color rgb="FF000000"/>
      </top>
      <bottom/>
    </border>
    <border>
      <left style="thin">
        <color rgb="FF000000"/>
      </left>
      <right style="thin">
        <color rgb="FF000000"/>
      </right>
      <top style="thin">
        <color rgb="FF000000"/>
      </top>
      <bottom/>
    </border>
    <border>
      <left/>
      <right style="thin">
        <color rgb="FF000000"/>
      </right>
      <top style="thin">
        <color rgb="FF000000"/>
      </top>
      <bottom/>
    </border>
    <border>
      <top style="thin">
        <color rgb="FF000000"/>
      </top>
    </border>
    <border>
      <top/>
      <bottom style="thin">
        <color rgb="FF000000"/>
      </bottom>
    </border>
    <border>
      <left style="thin">
        <color rgb="FF000000"/>
      </left>
      <top style="thin">
        <color rgb="FF000000"/>
      </top>
      <bottom/>
    </border>
    <border>
      <right style="thin">
        <color rgb="FF000000"/>
      </right>
      <top style="thin">
        <color rgb="FF000000"/>
      </top>
      <bottom/>
    </border>
    <border>
      <left style="thin">
        <color rgb="FF000000"/>
      </left>
      <right/>
      <top/>
      <bottom style="thin">
        <color rgb="FF000000"/>
      </bottom>
    </border>
    <border>
      <left style="thin">
        <color rgb="FF000000"/>
      </left>
      <right style="thin">
        <color rgb="FF000000"/>
      </right>
      <top/>
      <bottom style="thin">
        <color rgb="FF000000"/>
      </bottom>
    </border>
    <border>
      <left style="thin">
        <color rgb="FF000000"/>
      </left>
      <right style="thin">
        <color rgb="FF000000"/>
      </right>
      <bottom style="thin">
        <color rgb="FF000000"/>
      </bottom>
    </border>
    <border>
      <left/>
      <right/>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border>
    <border>
      <left style="thin">
        <color rgb="FF000000"/>
      </left>
      <right style="thin">
        <color rgb="FF000000"/>
      </right>
      <top/>
    </border>
  </borders>
  <cellStyleXfs count="1">
    <xf borderId="0" fillId="0" fontId="0" numFmtId="0" applyAlignment="1" applyFont="1"/>
  </cellStyleXfs>
  <cellXfs count="96">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2" fillId="3" fontId="2" numFmtId="0" xfId="0" applyAlignment="1" applyBorder="1" applyFill="1" applyFont="1">
      <alignment horizontal="center" shrinkToFit="0" vertical="top" wrapText="1"/>
    </xf>
    <xf borderId="3" fillId="0" fontId="3" numFmtId="0" xfId="0" applyAlignment="1" applyBorder="1" applyFont="1">
      <alignment vertical="top"/>
    </xf>
    <xf borderId="4" fillId="0" fontId="4" numFmtId="0" xfId="0" applyBorder="1" applyFont="1"/>
    <xf borderId="0" fillId="0" fontId="5" numFmtId="0" xfId="0" applyAlignment="1" applyFont="1">
      <alignment horizontal="center" shrinkToFit="0" vertical="top" wrapText="1"/>
    </xf>
    <xf borderId="5" fillId="4" fontId="1" numFmtId="0" xfId="0" applyAlignment="1" applyBorder="1" applyFill="1" applyFont="1">
      <alignment horizontal="center" shrinkToFit="0" wrapText="1"/>
    </xf>
    <xf borderId="0" fillId="0" fontId="3" numFmtId="0" xfId="0" applyAlignment="1" applyFont="1">
      <alignment shrinkToFit="0" vertical="top" wrapText="1"/>
    </xf>
    <xf borderId="6" fillId="0" fontId="4" numFmtId="0" xfId="0" applyBorder="1" applyFont="1"/>
    <xf borderId="7" fillId="4" fontId="6" numFmtId="0" xfId="0" applyAlignment="1" applyBorder="1" applyFill="1" applyFont="1">
      <alignment horizontal="center" readingOrder="0" vertical="top"/>
    </xf>
    <xf borderId="8" fillId="0" fontId="4" numFmtId="0" xfId="0" applyBorder="1" applyFont="1"/>
    <xf borderId="9" fillId="0" fontId="4" numFmtId="0" xfId="0" applyBorder="1" applyFont="1"/>
    <xf borderId="0" fillId="0" fontId="7" numFmtId="0" xfId="0" applyAlignment="1" applyFont="1">
      <alignment horizontal="center" shrinkToFit="0" vertical="top" wrapText="1"/>
    </xf>
    <xf borderId="10" fillId="0" fontId="4" numFmtId="0" xfId="0" applyBorder="1" applyFont="1"/>
    <xf borderId="3" fillId="2" fontId="1" numFmtId="0" xfId="0" applyAlignment="1" applyBorder="1" applyFill="1" applyFont="1">
      <alignment shrinkToFit="0" wrapText="1"/>
    </xf>
    <xf borderId="0" fillId="0" fontId="8" numFmtId="0" xfId="0" applyAlignment="1" applyFont="1">
      <alignment shrinkToFit="0" vertical="top" wrapText="1"/>
    </xf>
    <xf borderId="11" fillId="2" fontId="1" numFmtId="0" xfId="0" applyAlignment="1" applyBorder="1" applyFill="1" applyFont="1">
      <alignment shrinkToFit="0" vertical="top" wrapText="1"/>
    </xf>
    <xf borderId="0" fillId="0" fontId="3" numFmtId="49" xfId="0" applyAlignment="1" applyFont="1" applyNumberFormat="1">
      <alignment horizontal="center"/>
    </xf>
    <xf borderId="12" fillId="2" fontId="1" numFmtId="0" xfId="0" applyAlignment="1" applyBorder="1" applyFill="1" applyFont="1">
      <alignment shrinkToFit="0" vertical="top" wrapText="1"/>
    </xf>
    <xf borderId="0" fillId="0" fontId="7" numFmtId="0" xfId="0" applyAlignment="1" applyFont="1">
      <alignment horizontal="left" shrinkToFit="0" vertical="top" wrapText="1"/>
    </xf>
    <xf borderId="13" fillId="2" fontId="1" numFmtId="0" xfId="0" applyAlignment="1" applyBorder="1" applyFill="1" applyFont="1">
      <alignment shrinkToFit="0" vertical="top" wrapText="1"/>
    </xf>
    <xf borderId="3" fillId="0" fontId="3" numFmtId="15" xfId="0" applyAlignment="1" applyBorder="1" applyFont="1" applyNumberFormat="1">
      <alignment horizontal="center" vertical="center"/>
    </xf>
    <xf borderId="14" fillId="0" fontId="2" numFmtId="0" xfId="0" applyAlignment="1" applyBorder="1" applyFont="1">
      <alignment shrinkToFit="0" wrapText="1"/>
    </xf>
    <xf borderId="0" fillId="0" fontId="3" numFmtId="0" xfId="0" applyAlignment="1" applyFont="1">
      <alignment horizontal="left"/>
    </xf>
    <xf borderId="0" fillId="0" fontId="3" numFmtId="0" xfId="0" applyAlignment="1" applyFont="1">
      <alignment vertical="top"/>
    </xf>
    <xf borderId="12" fillId="2" fontId="1" numFmtId="0" xfId="0" applyAlignment="1" applyBorder="1" applyFill="1" applyFont="1">
      <alignment horizontal="center" shrinkToFit="0" vertical="top" wrapText="1"/>
    </xf>
    <xf borderId="2" fillId="5" fontId="3" numFmtId="0" xfId="0" applyAlignment="1" applyBorder="1" applyFill="1" applyFont="1">
      <alignment horizontal="center" shrinkToFit="0" vertical="top" wrapText="1"/>
    </xf>
    <xf borderId="0" fillId="0" fontId="9" numFmtId="0" xfId="0" applyAlignment="1" applyFont="1">
      <alignment shrinkToFit="0" vertical="top" wrapText="1"/>
    </xf>
    <xf borderId="12" fillId="2" fontId="1" numFmtId="0" xfId="0" applyAlignment="1" applyBorder="1" applyFill="1" applyFont="1">
      <alignment horizontal="left" shrinkToFit="0" vertical="top" wrapText="1"/>
    </xf>
    <xf borderId="0" fillId="0" fontId="7" numFmtId="0" xfId="0" applyAlignment="1" applyFont="1">
      <alignment shrinkToFit="0" vertical="top" wrapText="1"/>
    </xf>
    <xf borderId="5" fillId="4" fontId="1" numFmtId="0" xfId="0" applyAlignment="1" applyBorder="1" applyFill="1" applyFont="1">
      <alignment horizontal="center"/>
    </xf>
    <xf borderId="11" fillId="2" fontId="1" numFmtId="0" xfId="0" applyAlignment="1" applyBorder="1" applyFill="1" applyFont="1">
      <alignment horizontal="center" shrinkToFit="0" vertical="top" wrapText="1"/>
    </xf>
    <xf borderId="15" fillId="0" fontId="4" numFmtId="0" xfId="0" applyBorder="1" applyFont="1"/>
    <xf borderId="3" fillId="2" fontId="1" numFmtId="0" xfId="0" applyAlignment="1" applyBorder="1" applyFill="1" applyFont="1">
      <alignment horizontal="center" shrinkToFit="0" vertical="top" wrapText="1"/>
    </xf>
    <xf borderId="3" fillId="2" fontId="1" numFmtId="0" xfId="0" applyAlignment="1" applyBorder="1" applyFill="1" applyFont="1">
      <alignment horizontal="center"/>
    </xf>
    <xf borderId="16" fillId="2" fontId="1" numFmtId="0" xfId="0" applyAlignment="1" applyBorder="1" applyFill="1" applyFont="1">
      <alignment horizontal="center" shrinkToFit="0" wrapText="1"/>
    </xf>
    <xf borderId="12" fillId="2" fontId="1" numFmtId="0" xfId="0" applyAlignment="1" applyBorder="1" applyFill="1" applyFont="1">
      <alignment horizontal="center"/>
    </xf>
    <xf borderId="2" fillId="5" fontId="2" numFmtId="0" xfId="0" applyAlignment="1" applyBorder="1" applyFill="1" applyFont="1">
      <alignment horizontal="left" shrinkToFit="0" vertical="top" wrapText="1"/>
    </xf>
    <xf borderId="3" fillId="0" fontId="3" numFmtId="15" xfId="0" applyAlignment="1" applyBorder="1" applyFont="1" applyNumberFormat="1">
      <alignment horizontal="center" vertical="top"/>
    </xf>
    <xf borderId="3" fillId="0" fontId="8" numFmtId="0" xfId="0" applyAlignment="1" applyBorder="1" applyFont="1">
      <alignment horizontal="center" vertical="top"/>
    </xf>
    <xf borderId="3" fillId="0" fontId="3" numFmtId="49" xfId="0" applyAlignment="1" applyBorder="1" applyFont="1" applyNumberFormat="1">
      <alignment horizontal="center" vertical="top"/>
    </xf>
    <xf borderId="17" fillId="0" fontId="4" numFmtId="0" xfId="0" applyBorder="1" applyFont="1"/>
    <xf borderId="2" fillId="0" fontId="3" numFmtId="0" xfId="0" applyAlignment="1" applyBorder="1" applyFont="1">
      <alignment horizontal="left" shrinkToFit="0" vertical="top" wrapText="1"/>
    </xf>
    <xf borderId="3" fillId="6" fontId="8" numFmtId="0" xfId="0" applyAlignment="1" applyBorder="1" applyFill="1" applyFont="1">
      <alignment shrinkToFit="0" vertical="top" wrapText="1"/>
    </xf>
    <xf borderId="3" fillId="0" fontId="3" numFmtId="0" xfId="0" applyAlignment="1" applyBorder="1" applyFont="1">
      <alignment shrinkToFit="0" vertical="top" wrapText="1"/>
    </xf>
    <xf borderId="3" fillId="0" fontId="8" numFmtId="0" xfId="0" applyAlignment="1" applyBorder="1" applyFont="1">
      <alignment shrinkToFit="0" vertical="top" wrapText="1"/>
    </xf>
    <xf borderId="18" fillId="4" fontId="6" numFmtId="0" xfId="0" applyAlignment="1" applyBorder="1" applyFill="1" applyFont="1">
      <alignment shrinkToFit="0" vertical="top" wrapText="1"/>
    </xf>
    <xf borderId="0" fillId="0" fontId="3" numFmtId="15" xfId="0" applyAlignment="1" applyFont="1" applyNumberFormat="1">
      <alignment horizontal="center" shrinkToFit="0" wrapText="1"/>
    </xf>
    <xf borderId="0" fillId="0" fontId="3" numFmtId="15" xfId="0" applyAlignment="1" applyFont="1" applyNumberFormat="1">
      <alignment horizontal="center" vertical="top"/>
    </xf>
    <xf borderId="0" fillId="0" fontId="3" numFmtId="49" xfId="0" applyAlignment="1" applyFont="1" applyNumberFormat="1">
      <alignment horizontal="center" vertical="top"/>
    </xf>
    <xf borderId="2" fillId="0" fontId="2" numFmtId="0" xfId="0" applyAlignment="1" applyBorder="1" applyFont="1">
      <alignment horizontal="left" shrinkToFit="0" vertical="top" wrapText="1"/>
    </xf>
    <xf borderId="2" fillId="2" fontId="1" numFmtId="0" xfId="0" applyAlignment="1" applyBorder="1" applyFill="1" applyFont="1">
      <alignment horizontal="center"/>
    </xf>
    <xf borderId="3" fillId="0" fontId="8" numFmtId="0" xfId="0" applyAlignment="1" applyBorder="1" applyFont="1">
      <alignment horizontal="left" shrinkToFit="0" vertical="top" wrapText="1"/>
    </xf>
    <xf borderId="3" fillId="4" fontId="1" numFmtId="0" xfId="0" applyAlignment="1" applyBorder="1" applyFill="1" applyFont="1">
      <alignment shrinkToFit="0" wrapText="1"/>
    </xf>
    <xf borderId="19" fillId="4" fontId="1" numFmtId="0" xfId="0" applyAlignment="1" applyBorder="1" applyFill="1" applyFont="1">
      <alignment shrinkToFit="0" vertical="top" wrapText="1"/>
    </xf>
    <xf borderId="3" fillId="0" fontId="8" numFmtId="0" xfId="0" applyAlignment="1" applyBorder="1" applyFont="1">
      <alignment readingOrder="0" shrinkToFit="0" vertical="top" wrapText="1"/>
    </xf>
    <xf borderId="2" fillId="0" fontId="9" numFmtId="0" xfId="0" applyAlignment="1" applyBorder="1" applyFont="1">
      <alignment horizontal="center" shrinkToFit="0" vertical="top" wrapText="1"/>
    </xf>
    <xf borderId="20" fillId="0" fontId="3" numFmtId="0" xfId="0" applyAlignment="1" applyBorder="1" applyFont="1">
      <alignment vertical="top"/>
    </xf>
    <xf borderId="20" fillId="0" fontId="8" numFmtId="0" xfId="0" applyAlignment="1" applyBorder="1" applyFont="1">
      <alignment shrinkToFit="0" vertical="top" wrapText="1"/>
    </xf>
    <xf borderId="21" fillId="5" fontId="2" numFmtId="0" xfId="0" applyAlignment="1" applyBorder="1" applyFill="1" applyFont="1">
      <alignment horizontal="left" shrinkToFit="0" vertical="top" wrapText="1"/>
    </xf>
    <xf borderId="0" fillId="0" fontId="10" numFmtId="0" xfId="0" applyFont="1"/>
    <xf borderId="0" fillId="0" fontId="9" numFmtId="0" xfId="0" applyAlignment="1" applyFont="1">
      <alignment horizontal="left" shrinkToFit="0" vertical="top" wrapText="1"/>
    </xf>
    <xf borderId="3" fillId="5" fontId="11" numFmtId="0" xfId="0" applyAlignment="1" applyBorder="1" applyFill="1" applyFont="1">
      <alignment horizontal="center" shrinkToFit="0" vertical="center" wrapText="1"/>
    </xf>
    <xf borderId="3" fillId="0" fontId="3" numFmtId="0" xfId="0" applyAlignment="1" applyBorder="1" applyFont="1">
      <alignment horizontal="center" shrinkToFit="0" vertical="center" wrapText="1"/>
    </xf>
    <xf borderId="0" fillId="0" fontId="10" numFmtId="0" xfId="0" applyAlignment="1" applyFont="1">
      <alignment readingOrder="0"/>
    </xf>
    <xf borderId="3" fillId="0" fontId="8" numFmtId="0" xfId="0" applyAlignment="1" applyBorder="1" applyFont="1">
      <alignment horizontal="center" shrinkToFit="0" vertical="top" wrapText="1"/>
    </xf>
    <xf borderId="3" fillId="0" fontId="12" numFmtId="0" xfId="0" applyAlignment="1" applyBorder="1" applyFont="1">
      <alignment horizontal="center" shrinkToFit="0" vertical="top" wrapText="1"/>
    </xf>
    <xf borderId="1" fillId="2" fontId="1" numFmtId="0" xfId="0" applyBorder="1" applyFill="1" applyFont="1"/>
    <xf borderId="3" fillId="0" fontId="3" numFmtId="0" xfId="0" applyBorder="1" applyFont="1"/>
    <xf borderId="0" fillId="0" fontId="3" numFmtId="0" xfId="0" applyFont="1"/>
    <xf borderId="20" fillId="0" fontId="3" numFmtId="0" xfId="0" applyBorder="1" applyFont="1"/>
    <xf borderId="3" fillId="0" fontId="9" numFmtId="0" xfId="0" applyBorder="1" applyFont="1"/>
    <xf borderId="3" fillId="4" fontId="1" numFmtId="0" xfId="0" applyBorder="1" applyFill="1" applyFont="1"/>
    <xf borderId="22" fillId="7" fontId="13" numFmtId="0" xfId="0" applyAlignment="1" applyBorder="1" applyFill="1" applyFont="1">
      <alignment horizontal="left" shrinkToFit="0" vertical="top" wrapText="1"/>
    </xf>
    <xf borderId="3" fillId="0" fontId="13" numFmtId="0" xfId="0" applyAlignment="1" applyBorder="1" applyFont="1">
      <alignment shrinkToFit="0" vertical="top" wrapText="1"/>
    </xf>
    <xf borderId="3" fillId="0" fontId="9" numFmtId="0" xfId="0" applyAlignment="1" applyBorder="1" applyFont="1">
      <alignment shrinkToFit="0" vertical="top" wrapText="1"/>
    </xf>
    <xf borderId="23" fillId="0" fontId="4" numFmtId="0" xfId="0" applyBorder="1" applyFont="1"/>
    <xf borderId="3" fillId="0" fontId="3" numFmtId="0" xfId="0" applyAlignment="1" applyBorder="1" applyFont="1">
      <alignment horizontal="center" readingOrder="0" shrinkToFit="0" vertical="center" wrapText="1"/>
    </xf>
    <xf borderId="20" fillId="0" fontId="4" numFmtId="0" xfId="0" applyBorder="1" applyFont="1"/>
    <xf borderId="24" fillId="0" fontId="4" numFmtId="0" xfId="0" applyBorder="1" applyFont="1"/>
    <xf borderId="9" fillId="0" fontId="13" numFmtId="0" xfId="0" applyAlignment="1" applyBorder="1" applyFont="1">
      <alignment shrinkToFit="0" vertical="top" wrapText="1"/>
    </xf>
    <xf borderId="0" fillId="0" fontId="3" numFmtId="0" xfId="0" applyAlignment="1" applyFont="1">
      <alignment shrinkToFit="0" wrapText="1"/>
    </xf>
    <xf borderId="25" fillId="7" fontId="13" numFmtId="0" xfId="0" applyAlignment="1" applyBorder="1" applyFill="1" applyFont="1">
      <alignment horizontal="left" shrinkToFit="0" vertical="top" wrapText="1"/>
    </xf>
    <xf borderId="3" fillId="0" fontId="8" numFmtId="0" xfId="0" applyAlignment="1" applyBorder="1" applyFont="1">
      <alignment vertical="top"/>
    </xf>
    <xf borderId="3" fillId="0" fontId="13" numFmtId="0" xfId="0" applyAlignment="1" applyBorder="1" applyFont="1">
      <alignment vertical="top"/>
    </xf>
    <xf borderId="2" fillId="4" fontId="14" numFmtId="0" xfId="0" applyAlignment="1" applyBorder="1" applyFill="1" applyFont="1">
      <alignment horizontal="center" vertical="top"/>
    </xf>
    <xf borderId="3" fillId="6" fontId="12" numFmtId="0" xfId="0" applyAlignment="1" applyBorder="1" applyFill="1" applyFont="1">
      <alignment shrinkToFit="0" vertical="top" wrapText="1"/>
    </xf>
    <xf borderId="3" fillId="0" fontId="15" numFmtId="0" xfId="0" applyAlignment="1" applyBorder="1" applyFont="1">
      <alignment shrinkToFit="0" vertical="top" wrapText="1"/>
    </xf>
    <xf borderId="3" fillId="6" fontId="12" numFmtId="0" xfId="0" applyAlignment="1" applyBorder="1" applyFill="1" applyFont="1">
      <alignment horizontal="left" shrinkToFit="0" vertical="top" wrapText="1"/>
    </xf>
    <xf borderId="3" fillId="6" fontId="12" numFmtId="0" xfId="0" applyAlignment="1" applyBorder="1" applyFill="1" applyFont="1">
      <alignment horizontal="left" shrinkToFit="0" wrapText="1"/>
    </xf>
    <xf borderId="3" fillId="6" fontId="12" numFmtId="0" xfId="0" applyAlignment="1" applyBorder="1" applyFill="1" applyFont="1">
      <alignment shrinkToFit="0" wrapText="1"/>
    </xf>
    <xf borderId="3" fillId="0" fontId="12" numFmtId="0" xfId="0" applyAlignment="1" applyBorder="1" applyFont="1">
      <alignment shrinkToFit="0" vertical="top" wrapText="1"/>
    </xf>
    <xf borderId="22" fillId="0" fontId="8" numFmtId="0" xfId="0" applyAlignment="1" applyBorder="1" applyFont="1">
      <alignment horizontal="center" vertical="top"/>
    </xf>
    <xf borderId="12" fillId="6" fontId="8" numFmtId="0" xfId="0" applyAlignment="1" applyBorder="1" applyFill="1" applyFont="1">
      <alignment shrinkToFit="0" vertical="top" wrapText="1"/>
    </xf>
    <xf borderId="22" fillId="0" fontId="8" numFmtId="0" xfId="0" applyAlignment="1" applyBorder="1" applyFont="1">
      <alignment shrinkToFit="0" vertical="top" wrapText="1"/>
    </xf>
    <xf borderId="22" fillId="0" fontId="8" numFmtId="0" xfId="0" applyAlignment="1" applyBorder="1" applyFont="1">
      <alignment readingOrder="0" shrinkToFit="0" vertical="top" wrapText="1"/>
    </xf>
  </cellXfs>
  <cellStyles count="1">
    <cellStyle xfId="0" name="Normal" builtinId="0"/>
  </cellStyles>
  <dxfs count="2">
    <dxf>
      <font>
        <color rgb="FF000000"/>
      </font>
      <fill>
        <patternFill patternType="solid">
          <fgColor rgb="FFBFBFBF"/>
          <bgColor rgb="FFBFBFBF"/>
        </patternFill>
      </fill>
      <border/>
    </dxf>
    <dxf>
      <font>
        <color rgb="FF000000"/>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36.14"/>
    <col customWidth="1" min="3" max="3" width="42.14"/>
    <col customWidth="1" min="4" max="7" width="8.71"/>
    <col customWidth="1" min="8" max="8" width="24.14"/>
    <col customWidth="1" min="9" max="26" width="8.71"/>
  </cols>
  <sheetData>
    <row r="1" ht="14.25" customHeight="1">
      <c r="A1" s="6" t="s">
        <v>3</v>
      </c>
      <c r="B1" s="8"/>
    </row>
    <row r="2" ht="14.25" customHeight="1">
      <c r="A2" s="14" t="s">
        <v>6</v>
      </c>
      <c r="B2" s="3" t="s">
        <v>7</v>
      </c>
    </row>
    <row r="3" ht="14.25" customHeight="1">
      <c r="A3" s="14" t="s">
        <v>8</v>
      </c>
      <c r="B3" s="17" t="s">
        <v>10</v>
      </c>
    </row>
    <row r="4" ht="14.25" customHeight="1">
      <c r="A4" s="14" t="s">
        <v>12</v>
      </c>
      <c r="B4" s="21">
        <v>45888.0</v>
      </c>
    </row>
    <row r="5" ht="14.25" customHeight="1">
      <c r="A5" s="23"/>
    </row>
    <row r="6" ht="14.25" customHeight="1">
      <c r="A6" s="30" t="s">
        <v>19</v>
      </c>
      <c r="B6" s="32"/>
      <c r="C6" s="8"/>
    </row>
    <row r="7" ht="14.25" customHeight="1">
      <c r="A7" s="34" t="s">
        <v>24</v>
      </c>
      <c r="B7" s="34" t="s">
        <v>27</v>
      </c>
      <c r="C7" s="36" t="s">
        <v>18</v>
      </c>
    </row>
    <row r="8" ht="14.25" customHeight="1">
      <c r="A8" s="38">
        <v>43466.0</v>
      </c>
      <c r="B8" s="40" t="s">
        <v>28</v>
      </c>
      <c r="C8" s="3" t="s">
        <v>30</v>
      </c>
    </row>
    <row r="9" ht="14.25" customHeight="1">
      <c r="A9" s="38">
        <v>45075.0</v>
      </c>
      <c r="B9" s="40" t="s">
        <v>31</v>
      </c>
      <c r="C9" s="44" t="s">
        <v>32</v>
      </c>
    </row>
    <row r="10" ht="14.25" customHeight="1">
      <c r="A10" s="38">
        <v>45117.0</v>
      </c>
      <c r="B10" s="40" t="s">
        <v>33</v>
      </c>
      <c r="C10" s="44" t="s">
        <v>34</v>
      </c>
    </row>
    <row r="11" ht="14.25" customHeight="1">
      <c r="A11" s="38">
        <v>45888.0</v>
      </c>
      <c r="B11" s="40" t="s">
        <v>10</v>
      </c>
      <c r="C11" s="44" t="s">
        <v>37</v>
      </c>
    </row>
    <row r="12" ht="72.75" customHeight="1">
      <c r="A12" s="47" t="s">
        <v>38</v>
      </c>
    </row>
    <row r="13" ht="14.25" customHeight="1">
      <c r="A13" s="48"/>
      <c r="B13" s="49"/>
      <c r="C13" s="7"/>
    </row>
    <row r="14" ht="14.25" customHeight="1"/>
    <row r="15" ht="14.25" customHeight="1">
      <c r="A15" s="51" t="s">
        <v>40</v>
      </c>
      <c r="B15" s="4"/>
      <c r="C15" s="4"/>
      <c r="D15" s="4"/>
      <c r="E15" s="4"/>
      <c r="F15" s="4"/>
      <c r="G15" s="4"/>
      <c r="H15" s="11"/>
    </row>
    <row r="16" ht="163.5" customHeight="1">
      <c r="A16" s="42" t="s">
        <v>44</v>
      </c>
      <c r="B16" s="4"/>
      <c r="C16" s="4"/>
      <c r="D16" s="4"/>
      <c r="E16" s="4"/>
      <c r="F16" s="4"/>
      <c r="G16" s="4"/>
      <c r="H16" s="11"/>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B1"/>
    <mergeCell ref="A6:C6"/>
    <mergeCell ref="A12:H12"/>
    <mergeCell ref="A15:H15"/>
    <mergeCell ref="A16:H16"/>
  </mergeCells>
  <printOptions/>
  <pageMargins bottom="0.75" footer="0.0" header="0.0" left="0.7" right="0.7" top="0.75"/>
  <pageSetup orientation="portrait"/>
  <headerFooter>
    <oddHeader>&amp;L000000TCS Internal#</oddHeader>
    <oddFooter>&amp;L#000000TCS Internal</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86"/>
    <col customWidth="1" min="2" max="2" width="36.43"/>
    <col customWidth="1" min="3" max="4" width="8.71"/>
    <col customWidth="1" min="5" max="5" width="76.0"/>
    <col customWidth="1" min="6" max="26" width="8.71"/>
  </cols>
  <sheetData>
    <row r="1" ht="14.25" customHeight="1">
      <c r="A1" s="1" t="s">
        <v>1</v>
      </c>
      <c r="B1" s="3" t="s">
        <v>4</v>
      </c>
      <c r="C1" s="5"/>
      <c r="D1" s="5"/>
      <c r="E1" s="5"/>
      <c r="F1" s="7"/>
      <c r="G1" s="7"/>
      <c r="H1" s="7"/>
      <c r="I1" s="7"/>
      <c r="J1" s="7"/>
      <c r="K1" s="7"/>
      <c r="L1" s="7"/>
      <c r="M1" s="7"/>
      <c r="N1" s="7"/>
      <c r="O1" s="7"/>
      <c r="P1" s="7"/>
      <c r="Q1" s="7"/>
      <c r="R1" s="7"/>
      <c r="S1" s="7"/>
      <c r="T1" s="7"/>
      <c r="U1" s="7"/>
      <c r="V1" s="7"/>
      <c r="W1" s="7"/>
      <c r="X1" s="7"/>
      <c r="Y1" s="7"/>
      <c r="Z1" s="7"/>
    </row>
    <row r="2" ht="14.25" customHeight="1">
      <c r="A2" s="1" t="s">
        <v>5</v>
      </c>
      <c r="B2" s="3"/>
      <c r="C2" s="12"/>
      <c r="D2" s="12"/>
      <c r="E2" s="12"/>
      <c r="F2" s="7"/>
      <c r="G2" s="7"/>
      <c r="H2" s="7"/>
      <c r="I2" s="7"/>
      <c r="J2" s="7"/>
      <c r="K2" s="7"/>
      <c r="L2" s="7"/>
      <c r="M2" s="7"/>
      <c r="N2" s="7"/>
      <c r="O2" s="7"/>
      <c r="P2" s="7"/>
      <c r="Q2" s="7"/>
      <c r="R2" s="7"/>
      <c r="S2" s="7"/>
      <c r="T2" s="7"/>
      <c r="U2" s="7"/>
      <c r="V2" s="7"/>
      <c r="W2" s="7"/>
      <c r="X2" s="7"/>
      <c r="Y2" s="7"/>
      <c r="Z2" s="7"/>
    </row>
    <row r="3" ht="14.25" customHeight="1">
      <c r="A3" s="16" t="s">
        <v>9</v>
      </c>
      <c r="B3" s="3"/>
      <c r="C3" s="19"/>
      <c r="D3" s="19"/>
      <c r="E3" s="19"/>
      <c r="F3" s="7"/>
      <c r="G3" s="7"/>
      <c r="H3" s="7"/>
      <c r="I3" s="7"/>
      <c r="J3" s="7"/>
      <c r="K3" s="7"/>
      <c r="L3" s="7"/>
      <c r="M3" s="7"/>
      <c r="N3" s="7"/>
      <c r="O3" s="7"/>
      <c r="P3" s="7"/>
      <c r="Q3" s="7"/>
      <c r="R3" s="7"/>
      <c r="S3" s="7"/>
      <c r="T3" s="7"/>
      <c r="U3" s="7"/>
      <c r="V3" s="7"/>
      <c r="W3" s="7"/>
      <c r="X3" s="7"/>
      <c r="Y3" s="7"/>
      <c r="Z3" s="7"/>
    </row>
    <row r="4" ht="18.75" customHeight="1">
      <c r="A4" s="22"/>
      <c r="B4" s="24"/>
      <c r="C4" s="19"/>
      <c r="D4" s="19"/>
      <c r="E4" s="19"/>
      <c r="F4" s="7"/>
      <c r="G4" s="7"/>
      <c r="H4" s="7"/>
      <c r="I4" s="7"/>
      <c r="J4" s="7"/>
      <c r="K4" s="7"/>
      <c r="L4" s="7"/>
      <c r="M4" s="7"/>
      <c r="N4" s="7"/>
      <c r="O4" s="7"/>
      <c r="P4" s="7"/>
      <c r="Q4" s="7"/>
      <c r="R4" s="7"/>
      <c r="S4" s="7"/>
      <c r="T4" s="7"/>
      <c r="U4" s="7"/>
      <c r="V4" s="7"/>
      <c r="W4" s="7"/>
      <c r="X4" s="7"/>
      <c r="Y4" s="7"/>
      <c r="Z4" s="7"/>
    </row>
    <row r="5" ht="18.75" customHeight="1">
      <c r="A5" s="27"/>
      <c r="B5" s="24"/>
      <c r="C5" s="19"/>
      <c r="D5" s="19"/>
      <c r="E5" s="29"/>
      <c r="F5" s="27"/>
      <c r="G5" s="27"/>
      <c r="H5" s="27"/>
      <c r="I5" s="27"/>
      <c r="J5" s="27"/>
      <c r="K5" s="27"/>
      <c r="L5" s="27"/>
      <c r="M5" s="27"/>
      <c r="N5" s="27"/>
      <c r="O5" s="27"/>
      <c r="P5" s="27"/>
      <c r="Q5" s="27"/>
      <c r="R5" s="27"/>
      <c r="S5" s="27"/>
      <c r="T5" s="27"/>
      <c r="U5" s="27"/>
      <c r="V5" s="27"/>
      <c r="W5" s="27"/>
      <c r="X5" s="27"/>
      <c r="Y5" s="27"/>
      <c r="Z5" s="27"/>
    </row>
    <row r="6" ht="14.25" customHeight="1"/>
    <row r="7" ht="14.25" customHeight="1">
      <c r="A7" s="35" t="s">
        <v>25</v>
      </c>
      <c r="B7" s="41"/>
    </row>
    <row r="8" ht="14.25" customHeight="1">
      <c r="A8" s="46" t="s">
        <v>35</v>
      </c>
      <c r="B8" s="44"/>
    </row>
    <row r="9" ht="14.25" customHeight="1">
      <c r="A9" s="53" t="s">
        <v>41</v>
      </c>
      <c r="B9" s="3"/>
    </row>
    <row r="10" ht="17.25" customHeight="1">
      <c r="A10" s="54" t="s">
        <v>45</v>
      </c>
      <c r="B10" s="57"/>
    </row>
    <row r="11" ht="14.25" customHeight="1">
      <c r="A11" s="54" t="s">
        <v>47</v>
      </c>
      <c r="B11" s="57" t="s">
        <v>42</v>
      </c>
      <c r="C11" s="60" t="str">
        <f>IF(B11="Yes","Please fill Gen AI Audit Sheet along with regular checklist","")</f>
        <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c r="D45" s="60" t="str">
        <f>IF('Asset Info'!B8="Java","",IF('Asset Info'!B8="Python","",""))</f>
        <v/>
      </c>
    </row>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7:B7"/>
  </mergeCells>
  <dataValidations>
    <dataValidation type="list" allowBlank="1" showInputMessage="1" showErrorMessage="1" prompt="Please select from the dropdown" sqref="B8">
      <formula1>"Java,Python,.Net,Others"</formula1>
    </dataValidation>
    <dataValidation type="list" allowBlank="1" showInputMessage="1" showErrorMessage="1" prompt="Alert! - Please select from the dropdown!" sqref="B9">
      <formula1>"Internet,Intranet"</formula1>
    </dataValidation>
    <dataValidation type="list" allowBlank="1" showInputMessage="1" showErrorMessage="1" prompt="Alert! - Please select from the dropdown!" sqref="B10:B11">
      <formula1>"Yes,No"</formula1>
    </dataValidation>
  </dataValidations>
  <printOptions/>
  <pageMargins bottom="0.75" footer="0.0" header="0.0" left="0.7" right="0.7" top="0.75"/>
  <pageSetup orientation="portrait"/>
  <headerFooter>
    <oddHeader>&amp;L000000TCS Internal#</oddHeader>
    <oddFooter>&amp;L#000000TCS Internal</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17.86"/>
    <col customWidth="1" min="3" max="3" width="9.14"/>
    <col customWidth="1" min="4" max="4" width="27.43"/>
    <col customWidth="1" min="5" max="5" width="10.57"/>
    <col customWidth="1" min="6" max="6" width="8.57"/>
    <col customWidth="1" min="7" max="7" width="31.43"/>
    <col customWidth="1" min="8" max="8" width="27.57"/>
    <col customWidth="1" min="9" max="9" width="25.43"/>
    <col customWidth="1" min="10" max="10" width="8.0"/>
    <col customWidth="1" min="11" max="11" width="15.86"/>
    <col customWidth="1" min="12" max="26" width="9.14"/>
  </cols>
  <sheetData>
    <row r="1" ht="12.0" customHeight="1">
      <c r="A1" s="9" t="s">
        <v>0</v>
      </c>
      <c r="B1" s="10"/>
      <c r="C1" s="10"/>
      <c r="D1" s="10"/>
      <c r="E1" s="10"/>
      <c r="F1" s="10"/>
      <c r="G1" s="10"/>
      <c r="H1" s="10"/>
      <c r="I1" s="10"/>
      <c r="J1" s="10"/>
      <c r="K1" s="13"/>
      <c r="L1" s="15"/>
      <c r="M1" s="15"/>
      <c r="N1" s="15"/>
      <c r="O1" s="15"/>
      <c r="P1" s="15"/>
      <c r="Q1" s="15"/>
      <c r="R1" s="15"/>
      <c r="S1" s="15"/>
      <c r="T1" s="15"/>
      <c r="U1" s="15"/>
      <c r="V1" s="15"/>
      <c r="W1" s="15"/>
      <c r="X1" s="15"/>
      <c r="Y1" s="15"/>
      <c r="Z1" s="15"/>
    </row>
    <row r="2" ht="33.0" customHeight="1">
      <c r="A2" s="18" t="s">
        <v>11</v>
      </c>
      <c r="B2" s="20" t="s">
        <v>13</v>
      </c>
      <c r="C2" s="18" t="s">
        <v>14</v>
      </c>
      <c r="D2" s="18" t="s">
        <v>15</v>
      </c>
      <c r="E2" s="18" t="s">
        <v>16</v>
      </c>
      <c r="F2" s="18" t="s">
        <v>17</v>
      </c>
      <c r="G2" s="25" t="s">
        <v>18</v>
      </c>
      <c r="H2" s="28" t="s">
        <v>20</v>
      </c>
      <c r="I2" s="28" t="s">
        <v>21</v>
      </c>
      <c r="J2" s="31" t="s">
        <v>22</v>
      </c>
      <c r="K2" s="33" t="s">
        <v>23</v>
      </c>
      <c r="L2" s="15"/>
      <c r="M2" s="15"/>
      <c r="N2" s="15"/>
      <c r="O2" s="15"/>
      <c r="P2" s="15"/>
      <c r="Q2" s="15"/>
      <c r="R2" s="15"/>
      <c r="S2" s="15"/>
      <c r="T2" s="15"/>
      <c r="U2" s="15"/>
      <c r="V2" s="15"/>
      <c r="W2" s="15"/>
      <c r="X2" s="15"/>
      <c r="Y2" s="15"/>
      <c r="Z2" s="15"/>
    </row>
    <row r="3" ht="50.25" customHeight="1">
      <c r="A3" s="39">
        <v>1.0</v>
      </c>
      <c r="B3" s="43" t="s">
        <v>29</v>
      </c>
      <c r="C3" s="39">
        <v>1.0</v>
      </c>
      <c r="D3" s="45" t="s">
        <v>36</v>
      </c>
      <c r="E3" s="52" t="str">
        <f>IF(COUNTIF(F4:F6,"Yes")&gt;0,"No","Yes")</f>
        <v>Yes</v>
      </c>
      <c r="F3" s="45" t="s">
        <v>42</v>
      </c>
      <c r="G3" s="45" t="str">
        <f>IF(F3="Yes","The application connects to customer SSO/LDAP/Identity &amp; Access Management and hence no password policy managed within the application.","")</f>
        <v/>
      </c>
      <c r="H3" s="55" t="s">
        <v>46</v>
      </c>
      <c r="I3" s="45"/>
      <c r="J3" s="45" t="str">
        <f t="shared" ref="J3:J4" si="1">IF(F3="Yes","Y","N")</f>
        <v>N</v>
      </c>
      <c r="K3" s="58"/>
      <c r="L3" s="15"/>
      <c r="M3" s="15"/>
      <c r="N3" s="15"/>
      <c r="O3" s="15"/>
      <c r="P3" s="15"/>
      <c r="Q3" s="15"/>
      <c r="R3" s="15"/>
      <c r="S3" s="15"/>
      <c r="T3" s="15"/>
      <c r="U3" s="15"/>
      <c r="V3" s="15"/>
      <c r="W3" s="15"/>
      <c r="X3" s="15"/>
      <c r="Y3" s="15"/>
      <c r="Z3" s="15"/>
    </row>
    <row r="4" ht="12.0" customHeight="1">
      <c r="A4" s="39"/>
      <c r="B4" s="45"/>
      <c r="C4" s="39">
        <v>2.0</v>
      </c>
      <c r="D4" s="45" t="s">
        <v>48</v>
      </c>
      <c r="E4" s="52" t="str">
        <f>IF(OR(F3="Yes",COUNTIF(F5:F6,"Yes")&gt;0),"No","Yes")</f>
        <v>Yes</v>
      </c>
      <c r="F4" s="45"/>
      <c r="G4" s="45" t="str">
        <f>IF(F4="Yes","The application is a backend application and do not have any password policy managed.","")</f>
        <v/>
      </c>
      <c r="H4" s="55" t="s">
        <v>46</v>
      </c>
      <c r="I4" s="45"/>
      <c r="J4" s="45" t="str">
        <f t="shared" si="1"/>
        <v>N</v>
      </c>
      <c r="K4" s="45"/>
      <c r="L4" s="15"/>
      <c r="M4" s="15"/>
      <c r="N4" s="15"/>
      <c r="O4" s="15"/>
      <c r="P4" s="15"/>
      <c r="Q4" s="15"/>
      <c r="R4" s="15"/>
      <c r="S4" s="15"/>
      <c r="T4" s="15"/>
      <c r="U4" s="15"/>
      <c r="V4" s="15"/>
      <c r="W4" s="15"/>
      <c r="X4" s="15"/>
      <c r="Y4" s="15"/>
      <c r="Z4" s="15"/>
    </row>
    <row r="5" ht="12.0" customHeight="1">
      <c r="A5" s="39"/>
      <c r="B5" s="45"/>
      <c r="C5" s="39">
        <v>3.0</v>
      </c>
      <c r="D5" s="45" t="s">
        <v>57</v>
      </c>
      <c r="E5" s="52" t="str">
        <f>IF(OR(COUNTIF(F3:F4,"Yes")&gt;0,F6="Yes"),"No","Yes")</f>
        <v>Yes</v>
      </c>
      <c r="F5" s="45"/>
      <c r="G5" s="45"/>
      <c r="H5" s="64" t="s">
        <v>63</v>
      </c>
      <c r="I5" s="45"/>
      <c r="J5" s="45" t="str">
        <f>J7</f>
        <v>N</v>
      </c>
      <c r="K5" s="45"/>
      <c r="L5" s="15"/>
      <c r="M5" s="15"/>
      <c r="N5" s="15"/>
      <c r="O5" s="15"/>
      <c r="P5" s="15"/>
      <c r="Q5" s="15"/>
      <c r="R5" s="15"/>
      <c r="S5" s="15"/>
      <c r="T5" s="15"/>
      <c r="U5" s="15"/>
      <c r="V5" s="15"/>
      <c r="W5" s="15"/>
      <c r="X5" s="15"/>
      <c r="Y5" s="15"/>
      <c r="Z5" s="15"/>
    </row>
    <row r="6" ht="12.0" customHeight="1">
      <c r="A6" s="39"/>
      <c r="B6" s="45"/>
      <c r="C6" s="39">
        <v>4.0</v>
      </c>
      <c r="D6" s="45" t="s">
        <v>67</v>
      </c>
      <c r="E6" s="52" t="str">
        <f>IF(COUNTIF(F3:F5,"Yes")&gt;0,"No","Yes")</f>
        <v>Yes</v>
      </c>
      <c r="F6" s="45"/>
      <c r="G6" s="45"/>
      <c r="H6" s="45"/>
      <c r="I6" s="45"/>
      <c r="J6" s="45" t="s">
        <v>74</v>
      </c>
      <c r="K6" s="45" t="str">
        <f>IF(AND(F6="Yes",ISBLANK(H6)),"Please enter your comments","")</f>
        <v/>
      </c>
      <c r="L6" s="15"/>
      <c r="M6" s="15"/>
      <c r="N6" s="15"/>
      <c r="O6" s="15"/>
      <c r="P6" s="15"/>
      <c r="Q6" s="15"/>
      <c r="R6" s="15"/>
      <c r="S6" s="15"/>
      <c r="T6" s="15"/>
      <c r="U6" s="15"/>
      <c r="V6" s="15"/>
      <c r="W6" s="15"/>
      <c r="X6" s="15"/>
      <c r="Y6" s="15"/>
      <c r="Z6" s="15"/>
    </row>
    <row r="7" ht="76.5" customHeight="1">
      <c r="A7" s="65"/>
      <c r="B7" s="45"/>
      <c r="C7" s="65">
        <v>3.1</v>
      </c>
      <c r="D7" s="45" t="s">
        <v>81</v>
      </c>
      <c r="E7" s="45" t="str">
        <f>IF(F5="Yes","Yes","No")</f>
        <v>No</v>
      </c>
      <c r="F7" s="45"/>
      <c r="G7" s="45" t="str">
        <f>IF(OR(F7="No",F7="NA"),"Recommend to have password policy as configurable with min and max characters, 1 special character, 1 digit, atleast 1 upper case and 1 lower case letter. It should not allow to set last 5 passwords and force the user to reset the password periodically","")</f>
        <v/>
      </c>
      <c r="H7" s="64" t="s">
        <v>89</v>
      </c>
      <c r="I7" s="45"/>
      <c r="J7" s="45" t="str">
        <f>J8</f>
        <v>N</v>
      </c>
      <c r="K7" s="45" t="str">
        <f t="shared" ref="K7:K11" si="2">IF(AND(OR(F7="No",F7="NA"),ISBLANK(H7)),"Please enter your comments","")</f>
        <v/>
      </c>
      <c r="L7" s="15"/>
      <c r="M7" s="15"/>
      <c r="N7" s="15"/>
      <c r="O7" s="15"/>
      <c r="P7" s="15"/>
      <c r="Q7" s="15"/>
      <c r="R7" s="15"/>
      <c r="S7" s="15"/>
      <c r="T7" s="15"/>
      <c r="U7" s="15"/>
      <c r="V7" s="15"/>
      <c r="W7" s="15"/>
      <c r="X7" s="15"/>
      <c r="Y7" s="15"/>
      <c r="Z7" s="15"/>
    </row>
    <row r="8" ht="12.0" customHeight="1">
      <c r="A8" s="65"/>
      <c r="B8" s="45"/>
      <c r="C8" s="65" t="s">
        <v>96</v>
      </c>
      <c r="D8" s="45" t="str">
        <f>IF('Asset Info'!B9="Internet",CONCAT("Does the password policy consist of the following?
Min length 8 to 12 characters,
Max Length 50 to 64 characters,
Atleast 1 upper case letter,
Atleast 1 lower case letter,
Atleast 1 digit,
Atleast 1 special character,","
Password expiry after 30 or 60 days,
Last five passwords are not allowed to be used while resetting the password."),CONCAT("Does the password policy consist of the following?
Min length 8 to 12 characters,
Max Length 50 to 64 characters,",
"Atleast 1 upper case letter,
Atleast 1 lower case letter,
Atleast 1 digit,
Atleast 1 special character"
))</f>
        <v>Does the password policy consist of the following?
Min length 8 to 12 characters,
Max Length 50 to 64 characters,Atleast 1 upper case letter,
Atleast 1 lower case letter,
Atleast 1 digit,
Atleast 1 special character</v>
      </c>
      <c r="E8" s="45" t="str">
        <f>IF(AND(F5="Yes",F7="Yes"),"Yes","No")</f>
        <v>No</v>
      </c>
      <c r="F8" s="45"/>
      <c r="G8" s="45" t="str">
        <f>IF(F8="Yes","Password Policy is configurable for min and max length and it contains atleast 1 special charcater, 1 digit, 1 upper case and 1 lower case character. It will not allow to set last 5 passwords and force the user to reset the password periodically.",IF(OR(F8="No",F8="NA"),"Recommend to have password policy as configurable with min and max characters, 1 special character, 1 digit, atleast 1 upper case and 1 lower case letter. It should not allow to set last 5 passwords and force the user to reset the password periodically",""))</f>
        <v/>
      </c>
      <c r="H8" s="64" t="s">
        <v>114</v>
      </c>
      <c r="I8" s="45"/>
      <c r="J8" s="45" t="str">
        <f>IF(F8="Yes","Y","N")</f>
        <v>N</v>
      </c>
      <c r="K8" s="45" t="str">
        <f t="shared" si="2"/>
        <v/>
      </c>
      <c r="L8" s="15"/>
      <c r="M8" s="15"/>
      <c r="N8" s="15"/>
      <c r="O8" s="15"/>
      <c r="P8" s="15"/>
      <c r="Q8" s="15"/>
      <c r="R8" s="15"/>
      <c r="S8" s="15"/>
      <c r="T8" s="15"/>
      <c r="U8" s="15"/>
      <c r="V8" s="15"/>
      <c r="W8" s="15"/>
      <c r="X8" s="15"/>
      <c r="Y8" s="15"/>
      <c r="Z8" s="15"/>
    </row>
    <row r="9" ht="12.0" customHeight="1">
      <c r="A9" s="65">
        <v>2.0</v>
      </c>
      <c r="B9" s="43" t="s">
        <v>121</v>
      </c>
      <c r="C9" s="65">
        <v>1.0</v>
      </c>
      <c r="D9" s="45" t="str">
        <f>IF(OR(F3="Yes",F4="Yes"),"NA","Does the application store user credentials in DB by salting and hashing it?")</f>
        <v>Does the application store user credentials in DB by salting and hashing it?</v>
      </c>
      <c r="E9" s="45" t="str">
        <f>IF(D9&lt;&gt;"NA","Yes","No")</f>
        <v>Yes</v>
      </c>
      <c r="F9" s="45"/>
      <c r="G9" s="45" t="str">
        <f>IF(OR(F9="No",F9="NA"),"Recommend to have store application user credenatials in DB by salting and hashing it using slow hashing algorithms like scrypt/bcrypt/PBKDF2WithHMACSHA256.PBKDF2WithHMACSHA512/Argon2id.","")</f>
        <v/>
      </c>
      <c r="H9" s="64" t="s">
        <v>135</v>
      </c>
      <c r="I9" s="45"/>
      <c r="J9" s="45" t="str">
        <f>IF(E9="No","Y",IF(OR(F9="No",F9="NA"),"N",J10))</f>
        <v>N</v>
      </c>
      <c r="K9" s="45" t="str">
        <f t="shared" si="2"/>
        <v/>
      </c>
      <c r="L9" s="15"/>
      <c r="M9" s="15"/>
      <c r="N9" s="15"/>
      <c r="O9" s="15"/>
      <c r="P9" s="15"/>
      <c r="Q9" s="15"/>
      <c r="R9" s="15"/>
      <c r="S9" s="15"/>
      <c r="T9" s="15"/>
      <c r="U9" s="15"/>
      <c r="V9" s="15"/>
      <c r="W9" s="15"/>
      <c r="X9" s="15"/>
      <c r="Y9" s="15"/>
      <c r="Z9" s="15"/>
    </row>
    <row r="10" ht="62.25" customHeight="1">
      <c r="A10" s="65"/>
      <c r="B10" s="45"/>
      <c r="C10" s="65">
        <v>1.1</v>
      </c>
      <c r="D10" s="45" t="s">
        <v>146</v>
      </c>
      <c r="E10" s="45" t="str">
        <f>IF(F9="Yes","Yes","No")</f>
        <v>No</v>
      </c>
      <c r="F10" s="45"/>
      <c r="G10" s="45" t="str">
        <f>IF(F10="Yes","Application stores the user passwords in DB by salting and hashing it using slow hashing algorithms.",IF(OR(F10="No",F10="NA"),"Application stores the user passwords in DB by salting and hashing it. Recommend to use slow hashing algorithms  like scrypt/bcrypt/PBKDF2WithHMACSHA256.PBKDF2WithHMACSHA512/Argon2id.",""))</f>
        <v/>
      </c>
      <c r="H10" s="64" t="s">
        <v>155</v>
      </c>
      <c r="I10" s="45"/>
      <c r="J10" s="45" t="str">
        <f>IF(F10="Yes","Y","N")</f>
        <v>N</v>
      </c>
      <c r="K10" s="45" t="str">
        <f t="shared" si="2"/>
        <v/>
      </c>
      <c r="L10" s="15"/>
      <c r="M10" s="15"/>
      <c r="N10" s="15"/>
      <c r="O10" s="15"/>
      <c r="P10" s="15"/>
      <c r="Q10" s="15"/>
      <c r="R10" s="15"/>
      <c r="S10" s="15"/>
      <c r="T10" s="15"/>
      <c r="U10" s="15"/>
      <c r="V10" s="15"/>
      <c r="W10" s="15"/>
      <c r="X10" s="15"/>
      <c r="Y10" s="15"/>
      <c r="Z10" s="15"/>
    </row>
    <row r="11" ht="12.0" customHeight="1">
      <c r="A11" s="65">
        <v>3.0</v>
      </c>
      <c r="B11" s="43" t="s">
        <v>163</v>
      </c>
      <c r="C11" s="66">
        <v>1.0</v>
      </c>
      <c r="D11" s="52" t="s">
        <v>168</v>
      </c>
      <c r="E11" s="45" t="str">
        <f>IF(D12="NA","No",IF(F12="Yes","No","Yes"))</f>
        <v>Yes</v>
      </c>
      <c r="F11" s="45"/>
      <c r="G11" s="45" t="str">
        <f>IF(OR(F11="No","NA"),"Recommended to have uniques ID for each user.","")</f>
        <v>#VALUE!</v>
      </c>
      <c r="H11" s="64" t="s">
        <v>178</v>
      </c>
      <c r="I11" s="45"/>
      <c r="J11" s="45" t="str">
        <f>IF(D12="NA","Y",IF(F11="Yes","Y","N"))</f>
        <v>N</v>
      </c>
      <c r="K11" s="45" t="str">
        <f t="shared" si="2"/>
        <v/>
      </c>
      <c r="L11" s="15"/>
      <c r="M11" s="15"/>
      <c r="N11" s="15"/>
      <c r="O11" s="15"/>
      <c r="P11" s="15"/>
      <c r="Q11" s="15"/>
      <c r="R11" s="15"/>
      <c r="S11" s="15"/>
      <c r="T11" s="15"/>
      <c r="U11" s="15"/>
      <c r="V11" s="15"/>
      <c r="W11" s="15"/>
      <c r="X11" s="15"/>
      <c r="Y11" s="15"/>
      <c r="Z11" s="15"/>
    </row>
    <row r="12" ht="12.0" customHeight="1">
      <c r="A12" s="65"/>
      <c r="B12" s="45"/>
      <c r="C12" s="66">
        <v>2.0</v>
      </c>
      <c r="D12" s="52" t="str">
        <f>IF(F4="Yes","NA","Others")</f>
        <v>Others</v>
      </c>
      <c r="E12" s="45" t="str">
        <f>IF(D12="NA","No",IF(F11="Yes","No","Yes"))</f>
        <v>Yes</v>
      </c>
      <c r="F12" s="45"/>
      <c r="G12" s="45"/>
      <c r="I12" s="45"/>
      <c r="J12" s="45"/>
      <c r="K12" s="45" t="str">
        <f>IF(AND(F12="Yes",ISBLANK(H12)),"Please enter your comments","")</f>
        <v/>
      </c>
      <c r="L12" s="15"/>
      <c r="M12" s="15"/>
      <c r="N12" s="15"/>
      <c r="O12" s="15"/>
      <c r="P12" s="15"/>
      <c r="Q12" s="15"/>
      <c r="R12" s="15"/>
      <c r="S12" s="15"/>
      <c r="T12" s="15"/>
      <c r="U12" s="15"/>
      <c r="V12" s="15"/>
      <c r="W12" s="15"/>
      <c r="X12" s="15"/>
      <c r="Y12" s="15"/>
      <c r="Z12" s="15"/>
    </row>
    <row r="13" ht="12.0" customHeight="1">
      <c r="A13" s="65">
        <v>4.0</v>
      </c>
      <c r="B13" s="43" t="s">
        <v>196</v>
      </c>
      <c r="C13" s="65">
        <v>1.0</v>
      </c>
      <c r="D13" s="45" t="s">
        <v>198</v>
      </c>
      <c r="E13" s="45" t="str">
        <f>IF(D14="NA","No",IF(F14="Yes","No","Yes"))</f>
        <v>Yes</v>
      </c>
      <c r="F13" s="45"/>
      <c r="G13" s="45" t="str">
        <f>IF(F13="Yes","On every successful Authentication event of the user or service, a fresh new session token generated and any old session associated with the same user or service invalidated.",IF(OR(F13="No",F13="NA"),"Recommend to generate a fresh new session token on every successful authetication and invalidate any old session associated with the same user or service.",""))</f>
        <v/>
      </c>
      <c r="H13" s="64" t="s">
        <v>209</v>
      </c>
      <c r="I13" s="45"/>
      <c r="J13" s="45" t="str">
        <f>IF(D14="NA","Y",IF(F13="Yes","Y","N"))</f>
        <v>N</v>
      </c>
      <c r="K13" s="45" t="str">
        <f>IF(AND(OR(F13="No",F13="NA"),ISBLANK(H13)),"Please enter your comments","")</f>
        <v/>
      </c>
      <c r="L13" s="15"/>
      <c r="M13" s="15"/>
      <c r="N13" s="15"/>
      <c r="O13" s="15"/>
      <c r="P13" s="15"/>
      <c r="Q13" s="15"/>
      <c r="R13" s="15"/>
      <c r="S13" s="15"/>
      <c r="T13" s="15"/>
      <c r="U13" s="15"/>
      <c r="V13" s="15"/>
      <c r="W13" s="15"/>
      <c r="X13" s="15"/>
      <c r="Y13" s="15"/>
      <c r="Z13" s="15"/>
    </row>
    <row r="14" ht="12.0" customHeight="1">
      <c r="A14" s="65"/>
      <c r="B14" s="45"/>
      <c r="C14" s="65">
        <v>2.0</v>
      </c>
      <c r="D14" s="45" t="str">
        <f>IF(F4="Yes","NA","Others")</f>
        <v>Others</v>
      </c>
      <c r="E14" s="45" t="str">
        <f>IF(D14="NA","No",IF(F13="Yes","No","Yes"))</f>
        <v>Yes</v>
      </c>
      <c r="F14" s="45"/>
      <c r="G14" s="45"/>
      <c r="I14" s="45"/>
      <c r="J14" s="45"/>
      <c r="K14" s="45" t="str">
        <f>IF(AND(F14="Yes",ISBLANK(H14)),"Please enter your comments","")</f>
        <v/>
      </c>
      <c r="L14" s="15"/>
      <c r="M14" s="15"/>
      <c r="N14" s="15"/>
      <c r="O14" s="15"/>
      <c r="P14" s="15"/>
      <c r="Q14" s="15"/>
      <c r="R14" s="15"/>
      <c r="S14" s="15"/>
      <c r="T14" s="15"/>
      <c r="U14" s="15"/>
      <c r="V14" s="15"/>
      <c r="W14" s="15"/>
      <c r="X14" s="15"/>
      <c r="Y14" s="15"/>
      <c r="Z14" s="15"/>
    </row>
    <row r="15" ht="12.0" customHeight="1">
      <c r="A15" s="65">
        <v>5.0</v>
      </c>
      <c r="B15" s="43" t="s">
        <v>234</v>
      </c>
      <c r="C15" s="66">
        <v>1.0</v>
      </c>
      <c r="D15" s="52" t="s">
        <v>235</v>
      </c>
      <c r="E15" s="45" t="str">
        <f>IF(D16="NA","No",IF(F16="Yes","No","Yes"))</f>
        <v>Yes</v>
      </c>
      <c r="F15" s="45"/>
      <c r="G15" s="45" t="str">
        <f>IF(OR(F15="No","NA"),"Recommend to inform the user on logging out when logout button is clicked.","")</f>
        <v>#VALUE!</v>
      </c>
      <c r="H15" s="55" t="s">
        <v>46</v>
      </c>
      <c r="I15" s="45"/>
      <c r="J15" s="45" t="str">
        <f>IF(D16="NA","Y",IF(F15&lt;&gt;"Yes","N",J17))</f>
        <v>N</v>
      </c>
      <c r="K15" s="45" t="str">
        <f>IF(AND(OR(F15="No",F15="NA"),ISBLANK(H15)),"Please enter your comments","")</f>
        <v/>
      </c>
      <c r="L15" s="15"/>
      <c r="M15" s="15"/>
      <c r="N15" s="15"/>
      <c r="O15" s="15"/>
      <c r="P15" s="15"/>
      <c r="Q15" s="15"/>
      <c r="R15" s="15"/>
      <c r="S15" s="15"/>
      <c r="T15" s="15"/>
      <c r="U15" s="15"/>
      <c r="V15" s="15"/>
      <c r="W15" s="15"/>
      <c r="X15" s="15"/>
      <c r="Y15" s="15"/>
      <c r="Z15" s="15"/>
    </row>
    <row r="16" ht="12.0" customHeight="1">
      <c r="A16" s="65"/>
      <c r="B16" s="45"/>
      <c r="C16" s="66">
        <v>2.0</v>
      </c>
      <c r="D16" s="52" t="str">
        <f>IF(F4="Yes","NA","Others")</f>
        <v>Others</v>
      </c>
      <c r="E16" s="45" t="str">
        <f>IF(D16="NA","No",IF($F15&lt;&gt;"Yes","Yes","No"))</f>
        <v>Yes</v>
      </c>
      <c r="F16" s="45"/>
      <c r="G16" s="45"/>
      <c r="H16" s="64" t="s">
        <v>253</v>
      </c>
      <c r="I16" s="45"/>
      <c r="J16" s="45"/>
      <c r="K16" s="45" t="str">
        <f>IF(AND(F16="Yes",ISBLANK(H16)),"Please enter your comments","")</f>
        <v/>
      </c>
      <c r="L16" s="15"/>
      <c r="M16" s="15"/>
      <c r="N16" s="15"/>
      <c r="O16" s="15"/>
      <c r="P16" s="15"/>
      <c r="Q16" s="15"/>
      <c r="R16" s="15"/>
      <c r="S16" s="15"/>
      <c r="T16" s="15"/>
      <c r="U16" s="15"/>
      <c r="V16" s="15"/>
      <c r="W16" s="15"/>
      <c r="X16" s="15"/>
      <c r="Y16" s="15"/>
      <c r="Z16" s="15"/>
    </row>
    <row r="17" ht="12.0" customHeight="1">
      <c r="A17" s="65"/>
      <c r="B17" s="45"/>
      <c r="C17" s="66">
        <v>1.1</v>
      </c>
      <c r="D17" s="52" t="s">
        <v>258</v>
      </c>
      <c r="E17" s="45" t="str">
        <f>IF($F15="Yes","Yes","No")</f>
        <v>No</v>
      </c>
      <c r="F17" s="45"/>
      <c r="G17" s="45" t="str">
        <f>IF(F17="Yes","Application informs the user on logging out when logout button is clicked. Session is invalidated on logout.",IF(OR(F17="No",F17="NA"),"Application informs the user on logging out when logout button is clicked.  Recommend to invalidate the session token on logout.",""))</f>
        <v/>
      </c>
      <c r="H17" s="64" t="s">
        <v>268</v>
      </c>
      <c r="I17" s="45"/>
      <c r="J17" s="45" t="str">
        <f>IF(F17="Yes","Y","N")</f>
        <v>N</v>
      </c>
      <c r="K17" s="45" t="str">
        <f t="shared" ref="K17:K18" si="3">IF(AND(OR(F17="No",F17="NA"),ISBLANK(H17)),"Please enter your comments","")</f>
        <v/>
      </c>
      <c r="L17" s="15"/>
      <c r="M17" s="15"/>
      <c r="N17" s="15"/>
      <c r="O17" s="15"/>
      <c r="P17" s="15"/>
      <c r="Q17" s="15"/>
      <c r="R17" s="15"/>
      <c r="S17" s="15"/>
      <c r="T17" s="15"/>
      <c r="U17" s="15"/>
      <c r="V17" s="15"/>
      <c r="W17" s="15"/>
      <c r="X17" s="15"/>
      <c r="Y17" s="15"/>
      <c r="Z17" s="15"/>
    </row>
    <row r="18" ht="12.0" customHeight="1">
      <c r="A18" s="65">
        <v>6.0</v>
      </c>
      <c r="B18" s="43" t="s">
        <v>256</v>
      </c>
      <c r="C18" s="65">
        <v>1.0</v>
      </c>
      <c r="D18" s="45" t="s">
        <v>277</v>
      </c>
      <c r="E18" s="45" t="str">
        <f>IF(D19="NA","No",IF(F19="Yes","No","Yes"))</f>
        <v>Yes</v>
      </c>
      <c r="F18" s="45"/>
      <c r="G18" s="45" t="str">
        <f>IF(F18="Yes","Every Password Change/Reset event generate an audit trail which contains parameters like User's IP Address, Date &amp; Time, User ID &amp; Success or Failure status.",IF(OR(F18="No",F18="NA"),"Recommend to generate an audit trail on every password change/reset event containing parameters like User's IP Address, Date &amp; Time, User ID &amp; Success or Failure status.",""))</f>
        <v/>
      </c>
      <c r="H18" s="55" t="s">
        <v>46</v>
      </c>
      <c r="I18" s="45"/>
      <c r="J18" s="45" t="str">
        <f>IF(D19="NA","Y",IF(F18="Yes","Y","N"))</f>
        <v>N</v>
      </c>
      <c r="K18" s="45" t="str">
        <f t="shared" si="3"/>
        <v/>
      </c>
      <c r="L18" s="15"/>
      <c r="M18" s="15"/>
      <c r="N18" s="15"/>
      <c r="O18" s="15"/>
      <c r="P18" s="15"/>
      <c r="Q18" s="15"/>
      <c r="R18" s="15"/>
      <c r="S18" s="15"/>
      <c r="T18" s="15"/>
      <c r="U18" s="15"/>
      <c r="V18" s="15"/>
      <c r="W18" s="15"/>
      <c r="X18" s="15"/>
      <c r="Y18" s="15"/>
      <c r="Z18" s="15"/>
    </row>
    <row r="19" ht="12.0" customHeight="1">
      <c r="A19" s="65"/>
      <c r="B19" s="45"/>
      <c r="C19" s="65">
        <v>2.0</v>
      </c>
      <c r="D19" s="45" t="str">
        <f>IF(F4="Yes","NA","Others")</f>
        <v>Others</v>
      </c>
      <c r="E19" s="45" t="str">
        <f>IF(D19="NA","No",IF(F18="Yes","No","Yes"))</f>
        <v>Yes</v>
      </c>
      <c r="F19" s="45"/>
      <c r="G19" s="45"/>
      <c r="H19" s="45"/>
      <c r="I19" s="45"/>
      <c r="J19" s="45"/>
      <c r="K19" s="45" t="str">
        <f>IF(AND(F19="Yes",ISBLANK(H19)),"Please enter your comments","")</f>
        <v/>
      </c>
      <c r="L19" s="15"/>
      <c r="M19" s="15"/>
      <c r="N19" s="15"/>
      <c r="O19" s="15"/>
      <c r="P19" s="15"/>
      <c r="Q19" s="15"/>
      <c r="R19" s="15"/>
      <c r="S19" s="15"/>
      <c r="T19" s="15"/>
      <c r="U19" s="15"/>
      <c r="V19" s="15"/>
      <c r="W19" s="15"/>
      <c r="X19" s="15"/>
      <c r="Y19" s="15"/>
      <c r="Z19" s="15"/>
    </row>
    <row r="20" ht="12.0" customHeight="1">
      <c r="A20" s="65">
        <v>7.0</v>
      </c>
      <c r="B20" s="43" t="s">
        <v>262</v>
      </c>
      <c r="C20" s="65">
        <v>1.0</v>
      </c>
      <c r="D20" s="45" t="s">
        <v>323</v>
      </c>
      <c r="E20" s="45" t="str">
        <f>IF(D21="NA","No",IF(F21="Yes","No","Yes"))</f>
        <v>Yes</v>
      </c>
      <c r="F20" s="45"/>
      <c r="G20" s="45" t="str">
        <f>IF(F20="Yes","Authentication token or secret protected by using encryption and secure communication channels like HTTPS.",IF(OR(F20="No",F20="NA"),"Recommend to protect authentication token or secret by using encryption and secure communication channels like HTTPS.",""))</f>
        <v/>
      </c>
      <c r="H20" s="64" t="s">
        <v>342</v>
      </c>
      <c r="I20" s="45"/>
      <c r="J20" s="45" t="str">
        <f>IF(D21="NA","Y",IF(F20="Yes","Y","N"))</f>
        <v>N</v>
      </c>
      <c r="K20" s="45" t="str">
        <f>IF(AND(OR(F20="No",F20="NA"),ISBLANK(H20)),"Please enter your comments","")</f>
        <v/>
      </c>
      <c r="L20" s="15"/>
      <c r="M20" s="15"/>
      <c r="N20" s="15"/>
      <c r="O20" s="15"/>
      <c r="P20" s="15"/>
      <c r="Q20" s="15"/>
      <c r="R20" s="15"/>
      <c r="S20" s="15"/>
      <c r="T20" s="15"/>
      <c r="U20" s="15"/>
      <c r="V20" s="15"/>
      <c r="W20" s="15"/>
      <c r="X20" s="15"/>
      <c r="Y20" s="15"/>
      <c r="Z20" s="15"/>
    </row>
    <row r="21" ht="12.0" customHeight="1">
      <c r="A21" s="65"/>
      <c r="B21" s="45"/>
      <c r="C21" s="65">
        <v>2.0</v>
      </c>
      <c r="D21" s="45" t="str">
        <f>IF(F4="Yes","NA","Others")</f>
        <v>Others</v>
      </c>
      <c r="E21" s="45" t="str">
        <f>IF(D21="NA","No",IF(F20="Yes","No","Yes"))</f>
        <v>Yes</v>
      </c>
      <c r="F21" s="45"/>
      <c r="G21" s="45"/>
      <c r="H21" s="45"/>
      <c r="I21" s="45"/>
      <c r="J21" s="45"/>
      <c r="K21" s="45" t="str">
        <f>IF(AND(F21="Yes",ISBLANK(H21)),"Please enter your comments","")</f>
        <v/>
      </c>
      <c r="L21" s="15"/>
      <c r="M21" s="15"/>
      <c r="N21" s="15"/>
      <c r="O21" s="15"/>
      <c r="P21" s="15"/>
      <c r="Q21" s="15"/>
      <c r="R21" s="15"/>
      <c r="S21" s="15"/>
      <c r="T21" s="15"/>
      <c r="U21" s="15"/>
      <c r="V21" s="15"/>
      <c r="W21" s="15"/>
      <c r="X21" s="15"/>
      <c r="Y21" s="15"/>
      <c r="Z21" s="15"/>
    </row>
    <row r="22" ht="12.0" customHeight="1">
      <c r="A22" s="65">
        <v>8.0</v>
      </c>
      <c r="B22" s="43" t="s">
        <v>266</v>
      </c>
      <c r="C22" s="39">
        <v>1.0</v>
      </c>
      <c r="D22" s="45" t="s">
        <v>365</v>
      </c>
      <c r="E22" s="45" t="str">
        <f>IF(D25="NA","No",IF(OR(F23="Yes",F25="Yes",F24="Yes"),"No","Yes"))</f>
        <v>Yes</v>
      </c>
      <c r="F22" s="45"/>
      <c r="G22" s="45"/>
      <c r="H22" s="55" t="s">
        <v>46</v>
      </c>
      <c r="I22" s="45"/>
      <c r="J22" s="45" t="str">
        <f>IF(D25="NA","Y",IF(AND('Asset Info'!B9="Intranet",F22="Yes"),"Y",J26))</f>
        <v>N</v>
      </c>
      <c r="K22" s="45"/>
      <c r="L22" s="15"/>
      <c r="M22" s="15"/>
      <c r="N22" s="15"/>
      <c r="O22" s="15"/>
      <c r="P22" s="15"/>
      <c r="Q22" s="15"/>
      <c r="R22" s="15"/>
      <c r="S22" s="15"/>
      <c r="T22" s="15"/>
      <c r="U22" s="15"/>
      <c r="V22" s="15"/>
      <c r="W22" s="15"/>
      <c r="X22" s="15"/>
      <c r="Y22" s="15"/>
      <c r="Z22" s="15"/>
    </row>
    <row r="23" ht="12.0" customHeight="1">
      <c r="A23" s="65"/>
      <c r="B23" s="45"/>
      <c r="C23" s="39">
        <v>2.0</v>
      </c>
      <c r="D23" s="45" t="s">
        <v>370</v>
      </c>
      <c r="E23" s="45" t="str">
        <f>IF(D25="NA","No",IF(OR(F25="Yes",F22="Yes",F24="Yes"),"No","Yes"))</f>
        <v>Yes</v>
      </c>
      <c r="F23" s="45"/>
      <c r="G23" s="45" t="str">
        <f>IF(F23="Yes","Forgot password option is available. An email is send to the user with a password reset link to set the password.","")</f>
        <v/>
      </c>
      <c r="H23" s="55" t="s">
        <v>46</v>
      </c>
      <c r="I23" s="45"/>
      <c r="J23" s="45" t="str">
        <f>IF(F23="Yes","Y","N")</f>
        <v>N</v>
      </c>
      <c r="K23" s="45"/>
      <c r="L23" s="15"/>
      <c r="M23" s="15"/>
      <c r="N23" s="15"/>
      <c r="O23" s="15"/>
      <c r="P23" s="15"/>
      <c r="Q23" s="15"/>
      <c r="R23" s="15"/>
      <c r="S23" s="15"/>
      <c r="T23" s="15"/>
      <c r="U23" s="15"/>
      <c r="V23" s="15"/>
      <c r="W23" s="15"/>
      <c r="X23" s="15"/>
      <c r="Y23" s="15"/>
      <c r="Z23" s="15"/>
    </row>
    <row r="24" ht="12.0" customHeight="1">
      <c r="A24" s="65"/>
      <c r="B24" s="45"/>
      <c r="C24" s="39">
        <v>3.0</v>
      </c>
      <c r="D24" s="45" t="s">
        <v>374</v>
      </c>
      <c r="E24" s="45" t="str">
        <f>IF(D25="NA","No",IF(OR(F22="Yes",F23="Yes",F25="Yes"),"No","Yes"))</f>
        <v>Yes</v>
      </c>
      <c r="F24" s="45"/>
      <c r="G24" s="45"/>
      <c r="H24" s="55" t="s">
        <v>46</v>
      </c>
      <c r="I24" s="45"/>
      <c r="J24" s="45"/>
      <c r="K24" s="45"/>
      <c r="L24" s="15"/>
      <c r="M24" s="15"/>
      <c r="N24" s="15"/>
      <c r="O24" s="15"/>
      <c r="P24" s="15"/>
      <c r="Q24" s="15"/>
      <c r="R24" s="15"/>
      <c r="S24" s="15"/>
      <c r="T24" s="15"/>
      <c r="U24" s="15"/>
      <c r="V24" s="15"/>
      <c r="W24" s="15"/>
      <c r="X24" s="15"/>
      <c r="Y24" s="15"/>
      <c r="Z24" s="15"/>
    </row>
    <row r="25" ht="12.0" customHeight="1">
      <c r="A25" s="65"/>
      <c r="B25" s="45"/>
      <c r="C25" s="39">
        <v>4.0</v>
      </c>
      <c r="D25" s="45" t="str">
        <f>IF(F4="Yes","NA","Others")</f>
        <v>Others</v>
      </c>
      <c r="E25" s="52" t="str">
        <f>IF(D25="NA","No",IF(COUNTIF(F22:F24,"Yes")&gt;0,"No","Yes"))</f>
        <v>Yes</v>
      </c>
      <c r="F25" s="45"/>
      <c r="G25" s="45"/>
      <c r="H25" s="45"/>
      <c r="I25" s="45"/>
      <c r="J25" s="45"/>
      <c r="K25" s="45" t="str">
        <f>IF(AND(F25="Yes",ISBLANK(H25)),"Please enter your comments","")</f>
        <v/>
      </c>
      <c r="L25" s="15"/>
      <c r="M25" s="15"/>
      <c r="N25" s="15"/>
      <c r="O25" s="15"/>
      <c r="P25" s="15"/>
      <c r="Q25" s="15"/>
      <c r="R25" s="15"/>
      <c r="S25" s="15"/>
      <c r="T25" s="15"/>
      <c r="U25" s="15"/>
      <c r="V25" s="15"/>
      <c r="W25" s="15"/>
      <c r="X25" s="15"/>
      <c r="Y25" s="15"/>
      <c r="Z25" s="15"/>
    </row>
    <row r="26" ht="12.0" customHeight="1">
      <c r="A26" s="65"/>
      <c r="B26" s="45"/>
      <c r="C26" s="65">
        <v>1.1</v>
      </c>
      <c r="D26" s="83" t="s">
        <v>381</v>
      </c>
      <c r="E26" s="45" t="str">
        <f>IF(AND('Asset Info'!B9="Internet",F22="Yes"),"Yes","No")</f>
        <v>No</v>
      </c>
      <c r="F26" s="45"/>
      <c r="G26" s="45" t="str">
        <f>IF(F26="Yes","Secure Password Recovery mechanism is implemented by using multi-factor authentication elements ( for example ask security question something they know, and then send a generated token to a device/email - something they own).",IF(OR(F26="No",F26="NA"),"Recommend to have second factor of authentication like OTP for securely recovering the password.",""))</f>
        <v/>
      </c>
      <c r="H26" s="55" t="s">
        <v>46</v>
      </c>
      <c r="I26" s="45"/>
      <c r="J26" s="45" t="str">
        <f t="shared" ref="J26:J28" si="4">IF(F26="Yes","Y","N")</f>
        <v>N</v>
      </c>
      <c r="K26" s="45" t="str">
        <f>IF(AND(OR(F26="No",F26="NA"),ISBLANK(H26)),"Please enter your comments","")</f>
        <v/>
      </c>
      <c r="L26" s="15"/>
      <c r="M26" s="15"/>
      <c r="N26" s="15"/>
      <c r="O26" s="15"/>
      <c r="P26" s="15"/>
      <c r="Q26" s="15"/>
      <c r="R26" s="15"/>
      <c r="S26" s="15"/>
      <c r="T26" s="15"/>
      <c r="U26" s="15"/>
      <c r="V26" s="15"/>
      <c r="W26" s="15"/>
      <c r="X26" s="15"/>
      <c r="Y26" s="15"/>
      <c r="Z26" s="15"/>
    </row>
    <row r="27" ht="36.75" customHeight="1">
      <c r="A27" s="65"/>
      <c r="B27" s="45"/>
      <c r="C27" s="65">
        <v>3.1</v>
      </c>
      <c r="D27" s="45" t="s">
        <v>387</v>
      </c>
      <c r="E27" s="45" t="str">
        <f>IF(F24="Yes","Yes","No")</f>
        <v>No</v>
      </c>
      <c r="F27" s="45"/>
      <c r="G27" s="45" t="str">
        <f>IF(ISBLANK(F27),"",IF(F27="Yes","Admin resets the password and it is forced to change on first login by the user","Recommended to force the users to change their password upon their next login after a password reset by admin"))</f>
        <v/>
      </c>
      <c r="H27" s="55" t="s">
        <v>46</v>
      </c>
      <c r="I27" s="45"/>
      <c r="J27" s="45" t="str">
        <f t="shared" si="4"/>
        <v>N</v>
      </c>
      <c r="K27" s="45"/>
      <c r="L27" s="15"/>
      <c r="M27" s="15"/>
      <c r="N27" s="15"/>
      <c r="O27" s="15"/>
      <c r="P27" s="15"/>
      <c r="Q27" s="15"/>
      <c r="R27" s="15"/>
      <c r="S27" s="15"/>
      <c r="T27" s="15"/>
      <c r="U27" s="15"/>
      <c r="V27" s="15"/>
      <c r="W27" s="15"/>
      <c r="X27" s="15"/>
      <c r="Y27" s="15"/>
      <c r="Z27" s="15"/>
    </row>
    <row r="28" ht="12.0" customHeight="1">
      <c r="A28" s="65">
        <v>9.0</v>
      </c>
      <c r="B28" s="43" t="s">
        <v>270</v>
      </c>
      <c r="C28" s="65">
        <v>1.0</v>
      </c>
      <c r="D28" s="45" t="s">
        <v>391</v>
      </c>
      <c r="E28" s="45" t="str">
        <f>IF(F29="Yes","No","Yes")</f>
        <v>Yes</v>
      </c>
      <c r="F28" s="45"/>
      <c r="G28" s="45" t="str">
        <f>IF(F28="Yes","TLSv1.2 or above is used for secure communication.",IF(OR(F28="No",F28="NA"),"TLSv1.2 or above is recommended to use for secure communication",""))</f>
        <v/>
      </c>
      <c r="H28" s="45"/>
      <c r="I28" s="45"/>
      <c r="J28" s="45" t="str">
        <f t="shared" si="4"/>
        <v>N</v>
      </c>
      <c r="K28" s="45" t="str">
        <f>IF(AND(OR(F28="No",F28="NA"),ISBLANK(H28)),"Please enter your comments","")</f>
        <v/>
      </c>
      <c r="L28" s="15"/>
      <c r="M28" s="15"/>
      <c r="N28" s="15"/>
      <c r="O28" s="15"/>
      <c r="P28" s="15"/>
      <c r="Q28" s="15"/>
      <c r="R28" s="15"/>
      <c r="S28" s="15"/>
      <c r="T28" s="15"/>
      <c r="U28" s="15"/>
      <c r="V28" s="15"/>
      <c r="W28" s="15"/>
      <c r="X28" s="15"/>
      <c r="Y28" s="15"/>
      <c r="Z28" s="15"/>
    </row>
    <row r="29" ht="12.0" customHeight="1">
      <c r="A29" s="65"/>
      <c r="B29" s="45"/>
      <c r="C29" s="65">
        <v>2.0</v>
      </c>
      <c r="D29" s="45" t="s">
        <v>67</v>
      </c>
      <c r="E29" s="45" t="str">
        <f>IF(F28="Yes","No","Yes")</f>
        <v>Yes</v>
      </c>
      <c r="F29" s="45"/>
      <c r="G29" s="45"/>
      <c r="H29" s="45"/>
      <c r="I29" s="45"/>
      <c r="J29" s="45"/>
      <c r="K29" s="45" t="str">
        <f>IF(AND(F29="Yes",ISBLANK(H29)),"Please enter your comments","")</f>
        <v/>
      </c>
      <c r="L29" s="15"/>
      <c r="M29" s="15"/>
      <c r="N29" s="15"/>
      <c r="O29" s="15"/>
      <c r="P29" s="15"/>
      <c r="Q29" s="15"/>
      <c r="R29" s="15"/>
      <c r="S29" s="15"/>
      <c r="T29" s="15"/>
      <c r="U29" s="15"/>
      <c r="V29" s="15"/>
      <c r="W29" s="15"/>
      <c r="X29" s="15"/>
      <c r="Y29" s="15"/>
      <c r="Z29" s="15"/>
    </row>
    <row r="30" ht="12.0" customHeight="1">
      <c r="A30" s="65">
        <v>10.0</v>
      </c>
      <c r="B30" s="43" t="s">
        <v>275</v>
      </c>
      <c r="C30" s="65">
        <v>1.0</v>
      </c>
      <c r="D30" s="45" t="str">
        <f>IF(F4="Yes","NA",IF('Asset Info'!B9="Internet","Is CAPTCHA enforced on publicly available pages like Login page or any page that does not require authentication?","As it is a Intranet application anti-automation controls like CAPTCHA is not mandatory."))</f>
        <v>As it is a Intranet application anti-automation controls like CAPTCHA is not mandatory.</v>
      </c>
      <c r="E30" s="45" t="str">
        <f>IF('Asset Info'!B9="Internet","Yes","No")</f>
        <v>No</v>
      </c>
      <c r="F30" s="45"/>
      <c r="G30" s="45" t="str">
        <f>IF(F30="No","Recommend to enforce CAPTCHA on publicly available pages like Login page or any page that does not require authentication","")</f>
        <v/>
      </c>
      <c r="H30" s="55" t="s">
        <v>46</v>
      </c>
      <c r="I30" s="45"/>
      <c r="J30" s="45" t="str">
        <f>IF(OR(D30="NA",'Asset Info'!B9="Intranet"),"Y",IF(F30&lt;&gt;"Yes","N",IF(COUNTIF(J31:J32,"Y")&gt;0,"Y","N")))</f>
        <v>N</v>
      </c>
      <c r="K30" s="45"/>
      <c r="L30" s="15"/>
      <c r="M30" s="15"/>
      <c r="N30" s="15"/>
      <c r="O30" s="15"/>
      <c r="P30" s="15"/>
      <c r="Q30" s="15"/>
      <c r="R30" s="15"/>
      <c r="S30" s="15"/>
      <c r="T30" s="15"/>
      <c r="U30" s="15"/>
      <c r="V30" s="15"/>
      <c r="W30" s="15"/>
      <c r="X30" s="15"/>
      <c r="Y30" s="15"/>
      <c r="Z30" s="15"/>
    </row>
    <row r="31" ht="12.0" customHeight="1">
      <c r="A31" s="65"/>
      <c r="B31" s="45"/>
      <c r="C31" s="65">
        <v>1.1</v>
      </c>
      <c r="D31" s="45" t="s">
        <v>403</v>
      </c>
      <c r="E31" s="45" t="str">
        <f>IF(AND(F30="Yes",F32&lt;&gt;"Yes"),"Yes","No")</f>
        <v>No</v>
      </c>
      <c r="F31" s="45"/>
      <c r="G31" s="45" t="str">
        <f>IF(F31="Yes","Application uses CAPTCHA as anti-automation control. Standard CAPTCHA libraries used for generation.","")</f>
        <v/>
      </c>
      <c r="H31" s="55" t="s">
        <v>46</v>
      </c>
      <c r="I31" s="45"/>
      <c r="J31" s="45" t="str">
        <f>IF(F31="Yes","Y","N")</f>
        <v>N</v>
      </c>
      <c r="K31" s="45"/>
      <c r="L31" s="15"/>
      <c r="M31" s="15"/>
      <c r="N31" s="15"/>
      <c r="O31" s="15"/>
      <c r="P31" s="15"/>
      <c r="Q31" s="15"/>
      <c r="R31" s="15"/>
      <c r="S31" s="15"/>
      <c r="T31" s="15"/>
      <c r="U31" s="15"/>
      <c r="V31" s="15"/>
      <c r="W31" s="15"/>
      <c r="X31" s="15"/>
      <c r="Y31" s="15"/>
      <c r="Z31" s="15"/>
    </row>
    <row r="32" ht="12.0" customHeight="1">
      <c r="A32" s="65"/>
      <c r="B32" s="45"/>
      <c r="C32" s="65">
        <v>1.2</v>
      </c>
      <c r="D32" s="45" t="s">
        <v>406</v>
      </c>
      <c r="E32" s="45" t="str">
        <f>IF(AND(F30="Yes",F31&lt;&gt;"Yes"),"Yes","No")</f>
        <v>No</v>
      </c>
      <c r="F32" s="45"/>
      <c r="G32" s="45"/>
      <c r="H32" s="55" t="s">
        <v>46</v>
      </c>
      <c r="I32" s="45"/>
      <c r="J32" s="45" t="str">
        <f>J33</f>
        <v>N</v>
      </c>
      <c r="K32" s="45"/>
      <c r="L32" s="15"/>
      <c r="M32" s="15"/>
      <c r="N32" s="15"/>
      <c r="O32" s="15"/>
      <c r="P32" s="15"/>
      <c r="Q32" s="15"/>
      <c r="R32" s="15"/>
      <c r="S32" s="15"/>
      <c r="T32" s="15"/>
      <c r="U32" s="15"/>
      <c r="V32" s="15"/>
      <c r="W32" s="15"/>
      <c r="X32" s="15"/>
      <c r="Y32" s="15"/>
      <c r="Z32" s="15"/>
    </row>
    <row r="33" ht="12.0" customHeight="1">
      <c r="A33" s="65"/>
      <c r="B33" s="45"/>
      <c r="C33" s="65" t="s">
        <v>409</v>
      </c>
      <c r="D33" s="45" t="s">
        <v>410</v>
      </c>
      <c r="E33" s="45" t="str">
        <f>IF(F32="Yes","Yes","No")</f>
        <v>No</v>
      </c>
      <c r="F33" s="45"/>
      <c r="G33" s="45" t="str">
        <f>IF(F33="Yes","Application uses CAPTCHA as anti-automation control. Custom CAPTCHA generation done on the server side.",IF(OR(F33="No",F33="NA"),"Application uses CAPTCHA as anti-automation control. Custom CAPTCHA generation used. Recommended to generate and validate CAPTCHA on the server side.",""))</f>
        <v/>
      </c>
      <c r="H33" s="55" t="s">
        <v>46</v>
      </c>
      <c r="I33" s="45"/>
      <c r="J33" s="45" t="str">
        <f>IF(F33="Yes","Y","N")</f>
        <v>N</v>
      </c>
      <c r="K33" s="45"/>
      <c r="L33" s="15"/>
      <c r="M33" s="15"/>
      <c r="N33" s="15"/>
      <c r="O33" s="15"/>
      <c r="P33" s="15"/>
      <c r="Q33" s="15"/>
      <c r="R33" s="15"/>
      <c r="S33" s="15"/>
      <c r="T33" s="15"/>
      <c r="U33" s="15"/>
      <c r="V33" s="15"/>
      <c r="W33" s="15"/>
      <c r="X33" s="15"/>
      <c r="Y33" s="15"/>
      <c r="Z33" s="15"/>
    </row>
    <row r="34" ht="12.0" customHeight="1">
      <c r="A34" s="65">
        <v>11.0</v>
      </c>
      <c r="B34" s="43" t="s">
        <v>415</v>
      </c>
      <c r="C34" s="66">
        <v>1.0</v>
      </c>
      <c r="D34" s="52" t="s">
        <v>416</v>
      </c>
      <c r="E34" s="45" t="str">
        <f>IF(D35="NA","No",IF(F35="Yes","No","Yes"))</f>
        <v>Yes</v>
      </c>
      <c r="F34" s="45"/>
      <c r="G34" s="45" t="str">
        <f>IF(OR(F34="No",F34="NA"),"Application does not have any sensitive transaction","")</f>
        <v/>
      </c>
      <c r="H34" s="64" t="s">
        <v>46</v>
      </c>
      <c r="I34" s="45"/>
      <c r="J34" s="45" t="str">
        <f>IF(D35="NA","Y",IF(F34="Yes",J36,IF(NOT(ISBLANK(F34)),"Y","N")))</f>
        <v>N</v>
      </c>
      <c r="K34" s="45"/>
      <c r="L34" s="15"/>
      <c r="M34" s="15"/>
      <c r="N34" s="15"/>
      <c r="O34" s="15"/>
      <c r="P34" s="15"/>
      <c r="Q34" s="15"/>
      <c r="R34" s="15"/>
      <c r="S34" s="15"/>
      <c r="T34" s="15"/>
      <c r="U34" s="15"/>
      <c r="V34" s="15"/>
      <c r="W34" s="15"/>
      <c r="X34" s="15"/>
      <c r="Y34" s="15"/>
      <c r="Z34" s="15"/>
    </row>
    <row r="35" ht="12.0" customHeight="1">
      <c r="A35" s="65"/>
      <c r="B35" s="45"/>
      <c r="C35" s="66">
        <v>2.0</v>
      </c>
      <c r="D35" s="52" t="str">
        <f>IF(F4="Yes","NA","Others")</f>
        <v>Others</v>
      </c>
      <c r="E35" s="45" t="str">
        <f>IF(D35="NA","No",IF(ISBLANK($F34),"Yes","No"))</f>
        <v>Yes</v>
      </c>
      <c r="F35" s="45"/>
      <c r="G35" s="45"/>
      <c r="H35" s="45"/>
      <c r="I35" s="45"/>
      <c r="J35" s="45"/>
      <c r="K35" s="45" t="str">
        <f>IF(AND(F35="Yes",ISBLANK(H35)),"Please enter your comments","")</f>
        <v/>
      </c>
      <c r="L35" s="15"/>
      <c r="M35" s="15"/>
      <c r="N35" s="15"/>
      <c r="O35" s="15"/>
      <c r="P35" s="15"/>
      <c r="Q35" s="15"/>
      <c r="R35" s="15"/>
      <c r="S35" s="15"/>
      <c r="T35" s="15"/>
      <c r="U35" s="15"/>
      <c r="V35" s="15"/>
      <c r="W35" s="15"/>
      <c r="X35" s="15"/>
      <c r="Y35" s="15"/>
      <c r="Z35" s="15"/>
    </row>
    <row r="36" ht="12.0" customHeight="1">
      <c r="A36" s="65"/>
      <c r="B36" s="45"/>
      <c r="C36" s="66">
        <v>1.1</v>
      </c>
      <c r="D36" s="52" t="s">
        <v>424</v>
      </c>
      <c r="E36" s="45" t="str">
        <f>IF($F34="Yes","Yes","No")</f>
        <v>No</v>
      </c>
      <c r="F36" s="45"/>
      <c r="G36" s="45" t="str">
        <f>IF(F36="Yes","For sensitive transactions, application re-authenticates the user or verify through Profile Passwords or OTP mechanism.",IF(OR(F36="No",F36="NA"),"For sensitive transactions, recommend to re-authenticates the user or verify through Profile Passwords or OTP mechanism.",""))</f>
        <v/>
      </c>
      <c r="H36" s="55" t="s">
        <v>46</v>
      </c>
      <c r="I36" s="45"/>
      <c r="J36" s="45" t="str">
        <f>IF(F36="Yes","Y","N")</f>
        <v>N</v>
      </c>
      <c r="K36" s="45" t="str">
        <f>IF(AND(OR(F36="No",F36="NA"),ISBLANK(H36)),"Please enter your comments","")</f>
        <v/>
      </c>
      <c r="L36" s="15"/>
      <c r="M36" s="15"/>
      <c r="N36" s="15"/>
      <c r="O36" s="15"/>
      <c r="P36" s="15"/>
      <c r="Q36" s="15"/>
      <c r="R36" s="15"/>
      <c r="S36" s="15"/>
      <c r="T36" s="15"/>
      <c r="U36" s="15"/>
      <c r="V36" s="15"/>
      <c r="W36" s="15"/>
      <c r="X36" s="15"/>
      <c r="Y36" s="15"/>
      <c r="Z36" s="15"/>
    </row>
    <row r="37" ht="12.0" customHeight="1">
      <c r="A37" s="65">
        <v>12.0</v>
      </c>
      <c r="B37" s="43" t="s">
        <v>283</v>
      </c>
      <c r="C37" s="65">
        <v>1.0</v>
      </c>
      <c r="D37" s="45" t="s">
        <v>430</v>
      </c>
      <c r="E37" s="45" t="str">
        <f>IF('Asset Info'!B10="No","No",IF(F4="Yes","No",IF(D37&lt;&gt;"NA","Yes","No")))</f>
        <v>Yes</v>
      </c>
      <c r="F37" s="45"/>
      <c r="G37" s="45" t="str">
        <f>IF(OR(F37="No",F37="NA"),"Application do not have any critical functionality","")</f>
        <v/>
      </c>
      <c r="H37" s="55" t="s">
        <v>46</v>
      </c>
      <c r="I37" s="45"/>
      <c r="J37" s="45" t="str">
        <f>IF(E37="No","Y",IF(F4="Yes","Y",IF(F37="Yes",J38,IF(NOT(ISBLANK(F37)),"Y","N"))))</f>
        <v>N</v>
      </c>
      <c r="K37" s="45"/>
      <c r="L37" s="15"/>
      <c r="M37" s="15"/>
      <c r="N37" s="15"/>
      <c r="O37" s="15"/>
      <c r="P37" s="15"/>
      <c r="Q37" s="15"/>
      <c r="R37" s="15"/>
      <c r="S37" s="15"/>
      <c r="T37" s="15"/>
      <c r="U37" s="15"/>
      <c r="V37" s="15"/>
      <c r="W37" s="15"/>
      <c r="X37" s="15"/>
      <c r="Y37" s="15"/>
      <c r="Z37" s="15"/>
    </row>
    <row r="38" ht="12.0" customHeight="1">
      <c r="A38" s="65"/>
      <c r="B38" s="45"/>
      <c r="C38" s="65">
        <v>1.1</v>
      </c>
      <c r="D38" s="45" t="s">
        <v>434</v>
      </c>
      <c r="E38" s="45" t="str">
        <f>IF(F37="Yes","Yes","No")</f>
        <v>No</v>
      </c>
      <c r="F38" s="45"/>
      <c r="G38" s="45" t="str">
        <f>IF(F38="Yes","Application has critical functionality and Ipbased restrcition enabled for accessing such pages/functionality.",IF(OR(F38="No",F38="NA"),"Application has critical functionality. Recommend to have IP based access to those pages or functionality.",""))</f>
        <v/>
      </c>
      <c r="H38" s="55" t="s">
        <v>46</v>
      </c>
      <c r="I38" s="45"/>
      <c r="J38" s="45" t="str">
        <f>IF(F38="Yes","Y","N")</f>
        <v>N</v>
      </c>
      <c r="K38" s="45" t="str">
        <f>IF(AND(OR(F38="No",F38="NA"),ISBLANK(H38)),"Please enter your comments","")</f>
        <v/>
      </c>
      <c r="L38" s="15"/>
      <c r="M38" s="15"/>
      <c r="N38" s="15"/>
      <c r="O38" s="15"/>
      <c r="P38" s="15"/>
      <c r="Q38" s="15"/>
      <c r="R38" s="15"/>
      <c r="S38" s="15"/>
      <c r="T38" s="15"/>
      <c r="U38" s="15"/>
      <c r="V38" s="15"/>
      <c r="W38" s="15"/>
      <c r="X38" s="15"/>
      <c r="Y38" s="15"/>
      <c r="Z38" s="15"/>
    </row>
    <row r="39" ht="12.0" customHeight="1">
      <c r="A39" s="85" t="s">
        <v>439</v>
      </c>
      <c r="B39" s="4"/>
      <c r="C39" s="4"/>
      <c r="D39" s="4"/>
      <c r="E39" s="4"/>
      <c r="F39" s="4"/>
      <c r="G39" s="4"/>
      <c r="H39" s="4"/>
      <c r="I39" s="4"/>
      <c r="J39" s="4"/>
      <c r="K39" s="11"/>
      <c r="L39" s="15"/>
      <c r="M39" s="15"/>
      <c r="N39" s="15"/>
      <c r="O39" s="15"/>
      <c r="P39" s="15"/>
      <c r="Q39" s="15"/>
      <c r="R39" s="15"/>
      <c r="S39" s="15"/>
      <c r="T39" s="15"/>
      <c r="U39" s="15"/>
      <c r="V39" s="15"/>
      <c r="W39" s="15"/>
      <c r="X39" s="15"/>
      <c r="Y39" s="15"/>
      <c r="Z39" s="15"/>
    </row>
    <row r="40" ht="12.0" customHeight="1">
      <c r="A40" s="39">
        <v>1.0</v>
      </c>
      <c r="B40" s="86" t="s">
        <v>442</v>
      </c>
      <c r="C40" s="39">
        <v>1.0</v>
      </c>
      <c r="D40" s="45" t="s">
        <v>443</v>
      </c>
      <c r="E40" s="45" t="s">
        <v>445</v>
      </c>
      <c r="F40" s="45"/>
      <c r="G40" s="45" t="str">
        <f>IF(F40="Yes","The application has the time synchronised with NTP, other applications and systems.",IF(OR(F40="No",F40="NA"),"Recommended to have the time synchronised with NTP, other applications and systems.",""))</f>
        <v/>
      </c>
      <c r="H40" s="55" t="s">
        <v>46</v>
      </c>
      <c r="I40" s="45"/>
      <c r="J40" s="45" t="str">
        <f t="shared" ref="J40:J43" si="5">IF(F40="Yes","Y","N")</f>
        <v>N</v>
      </c>
      <c r="K40" s="45" t="str">
        <f t="shared" ref="K40:K43" si="6">IF(AND(OR(F40="No",F40="NA"),ISBLANK(H40)),"Please enter your comments","")</f>
        <v/>
      </c>
      <c r="L40" s="15"/>
      <c r="M40" s="15"/>
      <c r="N40" s="15"/>
      <c r="O40" s="15"/>
      <c r="P40" s="15"/>
      <c r="Q40" s="15"/>
      <c r="R40" s="15"/>
      <c r="S40" s="15"/>
      <c r="T40" s="15"/>
      <c r="U40" s="15"/>
      <c r="V40" s="15"/>
      <c r="W40" s="15"/>
      <c r="X40" s="15"/>
      <c r="Y40" s="15"/>
      <c r="Z40" s="15"/>
    </row>
    <row r="41" ht="12.0" customHeight="1">
      <c r="A41" s="39">
        <v>2.0</v>
      </c>
      <c r="B41" s="86" t="s">
        <v>450</v>
      </c>
      <c r="C41" s="39">
        <v>1.0</v>
      </c>
      <c r="D41" s="45" t="s">
        <v>451</v>
      </c>
      <c r="E41" s="45" t="s">
        <v>445</v>
      </c>
      <c r="F41" s="45"/>
      <c r="G41" s="45" t="str">
        <f>IF(F41="Yes","Source IP address, timestamp, action owner Id, event Id and resource Id are captured in the logs.",IF(OR(F41="No",F41="NA"),"Recommended to capture  source IP address, timestamp, action owner Id, event Id and resource Id.",""))</f>
        <v/>
      </c>
      <c r="H41" s="64" t="s">
        <v>453</v>
      </c>
      <c r="I41" s="45"/>
      <c r="J41" s="45" t="str">
        <f t="shared" si="5"/>
        <v>N</v>
      </c>
      <c r="K41" s="45" t="str">
        <f t="shared" si="6"/>
        <v/>
      </c>
      <c r="L41" s="15"/>
      <c r="M41" s="15"/>
      <c r="N41" s="15"/>
      <c r="O41" s="15"/>
      <c r="P41" s="15"/>
      <c r="Q41" s="15"/>
      <c r="R41" s="15"/>
      <c r="S41" s="15"/>
      <c r="T41" s="15"/>
      <c r="U41" s="15"/>
      <c r="V41" s="15"/>
      <c r="W41" s="15"/>
      <c r="X41" s="15"/>
      <c r="Y41" s="15"/>
      <c r="Z41" s="15"/>
    </row>
    <row r="42" ht="12.0" customHeight="1">
      <c r="A42" s="39">
        <v>3.0</v>
      </c>
      <c r="B42" s="86" t="s">
        <v>456</v>
      </c>
      <c r="C42" s="39">
        <v>1.0</v>
      </c>
      <c r="D42" s="45" t="s">
        <v>457</v>
      </c>
      <c r="E42" s="45" t="s">
        <v>445</v>
      </c>
      <c r="F42" s="45"/>
      <c r="G42" s="45" t="str">
        <f>IF(F42="Yes","Events and errors are differentiated.",IF(OR(F42="No",F42="NA"),"Recommended to differentiate events from errors.",""))</f>
        <v/>
      </c>
      <c r="H42" s="64" t="s">
        <v>459</v>
      </c>
      <c r="I42" s="45"/>
      <c r="J42" s="45" t="str">
        <f t="shared" si="5"/>
        <v>N</v>
      </c>
      <c r="K42" s="45" t="str">
        <f t="shared" si="6"/>
        <v/>
      </c>
      <c r="L42" s="15"/>
      <c r="M42" s="15"/>
      <c r="N42" s="15"/>
      <c r="O42" s="15"/>
      <c r="P42" s="15"/>
      <c r="Q42" s="15"/>
      <c r="R42" s="15"/>
      <c r="S42" s="15"/>
      <c r="T42" s="15"/>
      <c r="U42" s="15"/>
      <c r="V42" s="15"/>
      <c r="W42" s="15"/>
      <c r="X42" s="15"/>
      <c r="Y42" s="15"/>
      <c r="Z42" s="15"/>
    </row>
    <row r="43" ht="12.0" customHeight="1">
      <c r="A43" s="39">
        <v>4.0</v>
      </c>
      <c r="B43" s="86" t="s">
        <v>461</v>
      </c>
      <c r="C43" s="39">
        <v>1.0</v>
      </c>
      <c r="D43" s="45" t="s">
        <v>462</v>
      </c>
      <c r="E43" s="45" t="s">
        <v>445</v>
      </c>
      <c r="F43" s="45"/>
      <c r="G43" s="45" t="str">
        <f>IF(F43="Yes","Audit trails and logs are configured with append only mode.",IF(OR(F43="No",F43="NA"),"Recommended to have audit trails and logs as Write Once, Read Only format.",""))</f>
        <v/>
      </c>
      <c r="H43" s="55" t="s">
        <v>46</v>
      </c>
      <c r="I43" s="45"/>
      <c r="J43" s="45" t="str">
        <f t="shared" si="5"/>
        <v>N</v>
      </c>
      <c r="K43" s="45" t="str">
        <f t="shared" si="6"/>
        <v/>
      </c>
      <c r="L43" s="15"/>
      <c r="M43" s="15"/>
      <c r="N43" s="15"/>
      <c r="O43" s="15"/>
      <c r="P43" s="15"/>
      <c r="Q43" s="15"/>
      <c r="R43" s="15"/>
      <c r="S43" s="15"/>
      <c r="T43" s="15"/>
      <c r="U43" s="15"/>
      <c r="V43" s="15"/>
      <c r="W43" s="15"/>
      <c r="X43" s="15"/>
      <c r="Y43" s="15"/>
      <c r="Z43" s="15"/>
    </row>
    <row r="44" ht="49.5" customHeight="1">
      <c r="A44" s="39">
        <v>6.0</v>
      </c>
      <c r="B44" s="86" t="s">
        <v>466</v>
      </c>
      <c r="C44" s="65">
        <v>1.0</v>
      </c>
      <c r="D44" s="45" t="str">
        <f>IF('Asset Info'!B8="Java","Does the application use the standard APIs or libraries for logging such as Log4j, Log4Net ?",IF('Asset Info'!B8="Python","Does the application use standard APIs or libraries for logging such as 'Logging', 'Loguru', 'Pytholog' etc?","Does the application use any standard libraries for logging? If yes, please mention in the asset team comments column."))</f>
        <v>Does the application use any standard libraries for logging? If yes, please mention in the asset team comments column.</v>
      </c>
      <c r="E44" s="45" t="s">
        <v>445</v>
      </c>
      <c r="F44" s="45"/>
      <c r="G44" s="45" t="str">
        <f>IF(AND('Asset Info'!B8="Java",F44="Yes"),"Standard logging frameworks or APIs are used for logging like Log4j, Log4Net.",IF(AND('Asset Info'!B8="Python",F44="Yes"),"Standard logging frameworks or APIs are used for logging like 'Logging', 'Loguru', 'Pytholog'.",""))</f>
        <v/>
      </c>
      <c r="H44" s="64" t="s">
        <v>471</v>
      </c>
      <c r="I44" s="45"/>
      <c r="J44" s="45" t="str">
        <f>IF(AND(NOT(ISBLANK(G44)),F44="Yes"),"Y","N")</f>
        <v>N</v>
      </c>
      <c r="K44" s="87" t="str">
        <f>IF(AND($F44="Yes",AND(ISBLANK('Asset Info'!B8),ISBLANK($H44))),"Please enter your comments","")</f>
        <v/>
      </c>
      <c r="L44" s="15"/>
      <c r="M44" s="15"/>
      <c r="N44" s="15"/>
      <c r="O44" s="15"/>
      <c r="P44" s="15"/>
      <c r="Q44" s="15"/>
      <c r="R44" s="15"/>
      <c r="S44" s="15"/>
      <c r="T44" s="15"/>
      <c r="U44" s="15"/>
      <c r="V44" s="15"/>
      <c r="W44" s="15"/>
      <c r="X44" s="15"/>
      <c r="Y44" s="15"/>
      <c r="Z44" s="15"/>
    </row>
    <row r="45" ht="12.0" customHeight="1">
      <c r="A45" s="65"/>
      <c r="B45" s="45"/>
      <c r="C45" s="65">
        <v>2.0</v>
      </c>
      <c r="D45" s="45" t="s">
        <v>67</v>
      </c>
      <c r="E45" s="45"/>
      <c r="F45" s="45"/>
      <c r="G45" s="45"/>
      <c r="H45" s="45"/>
      <c r="I45" s="45"/>
      <c r="J45" s="45"/>
      <c r="K45" s="45" t="str">
        <f>IF(AND(F45="Yes",ISBLANK(H45)),"Please enter your comments","")</f>
        <v/>
      </c>
      <c r="L45" s="15"/>
      <c r="M45" s="15"/>
      <c r="N45" s="15"/>
      <c r="O45" s="15"/>
      <c r="P45" s="15"/>
      <c r="Q45" s="15"/>
      <c r="R45" s="15"/>
      <c r="S45" s="15"/>
      <c r="T45" s="15"/>
      <c r="U45" s="15"/>
      <c r="V45" s="15"/>
      <c r="W45" s="15"/>
      <c r="X45" s="15"/>
      <c r="Y45" s="15"/>
      <c r="Z45" s="15"/>
    </row>
    <row r="46" ht="12.0" customHeight="1">
      <c r="A46" s="39">
        <v>7.0</v>
      </c>
      <c r="B46" s="86" t="s">
        <v>315</v>
      </c>
      <c r="C46" s="39">
        <v>1.0</v>
      </c>
      <c r="D46" s="45" t="s">
        <v>477</v>
      </c>
      <c r="E46" s="45" t="str">
        <f>IF('Asset Info'!B10="No","No","Yes")</f>
        <v>Yes</v>
      </c>
      <c r="F46" s="45"/>
      <c r="G46" s="45" t="str">
        <f>IF(F46="Yes","Seperate audit trail is maintained for administrative actions.",IF(OR(F46="No",F46="NA"),"Recomended to Maintain audit-trail for administrative actions separately.",""))</f>
        <v/>
      </c>
      <c r="H46" s="55" t="s">
        <v>46</v>
      </c>
      <c r="I46" s="45"/>
      <c r="J46" s="45" t="str">
        <f>IF('Asset Info'!B10="No","Y",IF(F46="Yes","Y","N"))</f>
        <v>N</v>
      </c>
      <c r="K46" s="45" t="str">
        <f>IF(AND(OR(F46="No",F46="NA"),ISBLANK(H46)),"Please enter your comments","")</f>
        <v/>
      </c>
      <c r="L46" s="15"/>
      <c r="M46" s="15"/>
      <c r="N46" s="15"/>
      <c r="O46" s="15"/>
      <c r="P46" s="15"/>
      <c r="Q46" s="15"/>
      <c r="R46" s="15"/>
      <c r="S46" s="15"/>
      <c r="T46" s="15"/>
      <c r="U46" s="15"/>
      <c r="V46" s="15"/>
      <c r="W46" s="15"/>
      <c r="X46" s="15"/>
      <c r="Y46" s="15"/>
      <c r="Z46" s="15"/>
    </row>
    <row r="47" ht="12.0" customHeight="1">
      <c r="A47" s="39">
        <v>8.0</v>
      </c>
      <c r="B47" s="86" t="s">
        <v>321</v>
      </c>
      <c r="C47" s="65">
        <v>1.0</v>
      </c>
      <c r="D47" s="45" t="s">
        <v>485</v>
      </c>
      <c r="E47" s="45" t="str">
        <f>IF(D47&lt;&gt;"NA","Yes","No")</f>
        <v>Yes</v>
      </c>
      <c r="F47" s="45"/>
      <c r="G47" s="45" t="str">
        <f>IF(OR(F47="No",F47="NA"),"No sensitive information is logged.","")</f>
        <v/>
      </c>
      <c r="H47" s="55" t="s">
        <v>46</v>
      </c>
      <c r="I47" s="45"/>
      <c r="J47" s="45" t="str">
        <f>IF(F47="Yes",J48,IF(NOT(ISBLANK(F47)),"Y","N"))</f>
        <v>N</v>
      </c>
      <c r="K47" s="45"/>
      <c r="L47" s="15"/>
      <c r="M47" s="15"/>
      <c r="N47" s="15"/>
      <c r="O47" s="15"/>
      <c r="P47" s="15"/>
      <c r="Q47" s="15"/>
      <c r="R47" s="15"/>
      <c r="S47" s="15"/>
      <c r="T47" s="15"/>
      <c r="U47" s="15"/>
      <c r="V47" s="15"/>
      <c r="W47" s="15"/>
      <c r="X47" s="15"/>
      <c r="Y47" s="15"/>
      <c r="Z47" s="15"/>
    </row>
    <row r="48" ht="12.0" customHeight="1">
      <c r="A48" s="65"/>
      <c r="B48" s="45"/>
      <c r="C48" s="65">
        <v>1.1</v>
      </c>
      <c r="D48" s="45" t="s">
        <v>490</v>
      </c>
      <c r="E48" s="45" t="str">
        <f>IF(F47="Yes","Yes","No")</f>
        <v>No</v>
      </c>
      <c r="F48" s="45"/>
      <c r="G48" s="45" t="str">
        <f>IF(F48="Yes","Sensitive information is logged in encrypted format.",IF(OR(F48="No",F48="NA"),"Recommended to encrypt and log the sensitive information.",""))</f>
        <v/>
      </c>
      <c r="H48" s="55" t="s">
        <v>46</v>
      </c>
      <c r="I48" s="45"/>
      <c r="J48" s="45" t="str">
        <f t="shared" ref="J48:J52" si="7">IF(F48="Yes","Y","N")</f>
        <v>N</v>
      </c>
      <c r="K48" s="45" t="str">
        <f t="shared" ref="K48:K52" si="8">IF(AND(OR(F48="No",F48="NA"),ISBLANK(H48)),"Please enter your comments","")</f>
        <v/>
      </c>
      <c r="L48" s="15"/>
      <c r="M48" s="15"/>
      <c r="N48" s="15"/>
      <c r="O48" s="15"/>
      <c r="P48" s="15"/>
      <c r="Q48" s="15"/>
      <c r="R48" s="15"/>
      <c r="S48" s="15"/>
      <c r="T48" s="15"/>
      <c r="U48" s="15"/>
      <c r="V48" s="15"/>
      <c r="W48" s="15"/>
      <c r="X48" s="15"/>
      <c r="Y48" s="15"/>
      <c r="Z48" s="15"/>
    </row>
    <row r="49" ht="12.0" customHeight="1">
      <c r="A49" s="39">
        <v>9.0</v>
      </c>
      <c r="B49" s="86" t="s">
        <v>327</v>
      </c>
      <c r="C49" s="39">
        <v>1.0</v>
      </c>
      <c r="D49" s="45" t="s">
        <v>496</v>
      </c>
      <c r="E49" s="45" t="s">
        <v>445</v>
      </c>
      <c r="F49" s="45"/>
      <c r="G49" s="45" t="str">
        <f>IF(F49="Yes","Sufficient disk space for logs is planned by having periodic backups.",IF(OR(F49="No",F49="NA"),"Recommended to ensure that log files are stored in a safe location of the file system and that adequate disk space is available for logging.",""))</f>
        <v/>
      </c>
      <c r="H49" s="55" t="s">
        <v>46</v>
      </c>
      <c r="I49" s="45"/>
      <c r="J49" s="45" t="str">
        <f t="shared" si="7"/>
        <v>N</v>
      </c>
      <c r="K49" s="45" t="str">
        <f t="shared" si="8"/>
        <v/>
      </c>
      <c r="L49" s="15"/>
      <c r="M49" s="15"/>
      <c r="N49" s="15"/>
      <c r="O49" s="15"/>
      <c r="P49" s="15"/>
      <c r="Q49" s="15"/>
      <c r="R49" s="15"/>
      <c r="S49" s="15"/>
      <c r="T49" s="15"/>
      <c r="U49" s="15"/>
      <c r="V49" s="15"/>
      <c r="W49" s="15"/>
      <c r="X49" s="15"/>
      <c r="Y49" s="15"/>
      <c r="Z49" s="15"/>
    </row>
    <row r="50" ht="12.0" customHeight="1">
      <c r="A50" s="39">
        <v>10.0</v>
      </c>
      <c r="B50" s="86" t="s">
        <v>333</v>
      </c>
      <c r="C50" s="39">
        <v>1.0</v>
      </c>
      <c r="D50" s="45" t="s">
        <v>499</v>
      </c>
      <c r="E50" s="52" t="str">
        <f>IF(COUNTIF(F51:F53,"Yes")&gt;0,"No","Yes")</f>
        <v>Yes</v>
      </c>
      <c r="F50" s="45"/>
      <c r="G50" s="45" t="str">
        <f>IF(F50="Yes","Appropriate logging strategy is selected i.e., date-wise logging followed.","")</f>
        <v/>
      </c>
      <c r="H50" s="64" t="s">
        <v>501</v>
      </c>
      <c r="I50" s="45"/>
      <c r="J50" s="45" t="str">
        <f t="shared" si="7"/>
        <v>N</v>
      </c>
      <c r="K50" s="45" t="str">
        <f t="shared" si="8"/>
        <v/>
      </c>
      <c r="L50" s="15"/>
      <c r="M50" s="15"/>
      <c r="N50" s="15"/>
      <c r="O50" s="15"/>
      <c r="P50" s="15"/>
      <c r="Q50" s="15"/>
      <c r="R50" s="15"/>
      <c r="S50" s="15"/>
      <c r="T50" s="15"/>
      <c r="U50" s="15"/>
      <c r="V50" s="15"/>
      <c r="W50" s="15"/>
      <c r="X50" s="15"/>
      <c r="Y50" s="15"/>
      <c r="Z50" s="15"/>
    </row>
    <row r="51" ht="12.0" customHeight="1">
      <c r="A51" s="65"/>
      <c r="B51" s="45"/>
      <c r="C51" s="39">
        <v>2.0</v>
      </c>
      <c r="D51" s="45" t="s">
        <v>503</v>
      </c>
      <c r="E51" s="52" t="str">
        <f>IF(OR(F50="Yes",COUNTIF(F52:F53,"Yes")&gt;0),"No","Yes")</f>
        <v>Yes</v>
      </c>
      <c r="F51" s="45"/>
      <c r="G51" s="45" t="str">
        <f>IF(F51="Yes","Appropriate logging strategy is selected i.e., user-wise logging followed.","")</f>
        <v/>
      </c>
      <c r="H51" s="64" t="s">
        <v>506</v>
      </c>
      <c r="I51" s="45"/>
      <c r="J51" s="45" t="str">
        <f t="shared" si="7"/>
        <v>N</v>
      </c>
      <c r="K51" s="45" t="str">
        <f t="shared" si="8"/>
        <v/>
      </c>
      <c r="L51" s="15"/>
      <c r="M51" s="15"/>
      <c r="N51" s="15"/>
      <c r="O51" s="15"/>
      <c r="P51" s="15"/>
      <c r="Q51" s="15"/>
      <c r="R51" s="15"/>
      <c r="S51" s="15"/>
      <c r="T51" s="15"/>
      <c r="U51" s="15"/>
      <c r="V51" s="15"/>
      <c r="W51" s="15"/>
      <c r="X51" s="15"/>
      <c r="Y51" s="15"/>
      <c r="Z51" s="15"/>
    </row>
    <row r="52" ht="12.0" customHeight="1">
      <c r="A52" s="65"/>
      <c r="B52" s="45"/>
      <c r="C52" s="39">
        <v>3.0</v>
      </c>
      <c r="D52" s="45" t="s">
        <v>508</v>
      </c>
      <c r="E52" s="52" t="str">
        <f>IF(OR(COUNTIF(F50:F51,"Yes")&gt;0,F53="Yes"),"No","Yes")</f>
        <v>Yes</v>
      </c>
      <c r="F52" s="45"/>
      <c r="G52" s="45" t="str">
        <f>IF(F52="Yes","Appropriate logging strategy is selected i.e., event-wise logging followed.","")</f>
        <v/>
      </c>
      <c r="H52" s="64" t="s">
        <v>511</v>
      </c>
      <c r="I52" s="45"/>
      <c r="J52" s="45" t="str">
        <f t="shared" si="7"/>
        <v>N</v>
      </c>
      <c r="K52" s="45" t="str">
        <f t="shared" si="8"/>
        <v/>
      </c>
      <c r="L52" s="15"/>
      <c r="M52" s="15"/>
      <c r="N52" s="15"/>
      <c r="O52" s="15"/>
      <c r="P52" s="15"/>
      <c r="Q52" s="15"/>
      <c r="R52" s="15"/>
      <c r="S52" s="15"/>
      <c r="T52" s="15"/>
      <c r="U52" s="15"/>
      <c r="V52" s="15"/>
      <c r="W52" s="15"/>
      <c r="X52" s="15"/>
      <c r="Y52" s="15"/>
      <c r="Z52" s="15"/>
    </row>
    <row r="53" ht="12.0" customHeight="1">
      <c r="A53" s="65"/>
      <c r="B53" s="45"/>
      <c r="C53" s="65">
        <v>4.0</v>
      </c>
      <c r="D53" s="45" t="s">
        <v>67</v>
      </c>
      <c r="E53" s="52" t="str">
        <f>IF(COUNTIF(F50:F52,"Yes")&gt;0,"No","Yes")</f>
        <v>Yes</v>
      </c>
      <c r="F53" s="45"/>
      <c r="G53" s="45"/>
      <c r="H53" s="45"/>
      <c r="I53" s="45"/>
      <c r="J53" s="45"/>
      <c r="K53" s="45" t="str">
        <f>IF(AND(F53="Yes",ISBLANK(H53)),"Please enter your comments","")</f>
        <v/>
      </c>
      <c r="L53" s="15"/>
      <c r="M53" s="15"/>
      <c r="N53" s="15"/>
      <c r="O53" s="15"/>
      <c r="P53" s="15"/>
      <c r="Q53" s="15"/>
      <c r="R53" s="15"/>
      <c r="S53" s="15"/>
      <c r="T53" s="15"/>
      <c r="U53" s="15"/>
      <c r="V53" s="15"/>
      <c r="W53" s="15"/>
      <c r="X53" s="15"/>
      <c r="Y53" s="15"/>
      <c r="Z53" s="15"/>
    </row>
    <row r="54" ht="12.0" customHeight="1">
      <c r="A54" s="39">
        <v>11.0</v>
      </c>
      <c r="B54" s="86" t="s">
        <v>341</v>
      </c>
      <c r="C54" s="65">
        <v>1.0</v>
      </c>
      <c r="D54" s="45" t="s">
        <v>513</v>
      </c>
      <c r="E54" s="45" t="str">
        <f>IF(D54&lt;&gt;"NA","Yes","No")</f>
        <v>Yes</v>
      </c>
      <c r="F54" s="45"/>
      <c r="G54" s="45" t="str">
        <f>IF(OR(F54="No",F54="NA"),"Recommended to analyze logs periodically for anomalies or misbehaviours.","")</f>
        <v/>
      </c>
      <c r="H54" s="55" t="s">
        <v>46</v>
      </c>
      <c r="I54" s="45"/>
      <c r="J54" s="45" t="str">
        <f>IF(F54="Yes",J55,IF(NOT(ISBLANK(F54)),"Y","N"))</f>
        <v>N</v>
      </c>
      <c r="K54" s="45" t="str">
        <f t="shared" ref="K54:K57" si="9">IF(AND(OR(F54="No",F54="NA"),ISBLANK(H54)),"Please enter your comments","")</f>
        <v/>
      </c>
      <c r="L54" s="15"/>
      <c r="M54" s="15"/>
      <c r="N54" s="15"/>
      <c r="O54" s="15"/>
      <c r="P54" s="15"/>
      <c r="Q54" s="15"/>
      <c r="R54" s="15"/>
      <c r="S54" s="15"/>
      <c r="T54" s="15"/>
      <c r="U54" s="15"/>
      <c r="V54" s="15"/>
      <c r="W54" s="15"/>
      <c r="X54" s="15"/>
      <c r="Y54" s="15"/>
      <c r="Z54" s="15"/>
    </row>
    <row r="55" ht="49.5" customHeight="1">
      <c r="A55" s="65"/>
      <c r="B55" s="45"/>
      <c r="C55" s="65">
        <v>1.1</v>
      </c>
      <c r="D55" s="45" t="s">
        <v>514</v>
      </c>
      <c r="E55" s="45" t="str">
        <f>IF(F54="Yes","Yes","No")</f>
        <v>No</v>
      </c>
      <c r="F55" s="45"/>
      <c r="G55" s="45" t="str">
        <f>IF(F55="Yes","Logs are analyzed periodically for anomalies or misbehaviours automatically.",IF(OR(F55="No",F55="NA"),"Logs are analyzed periodically for anomalies or misbehaviours. However recommended to use an automated program to achieve it.",""))</f>
        <v/>
      </c>
      <c r="H55" s="64" t="s">
        <v>515</v>
      </c>
      <c r="I55" s="45"/>
      <c r="J55" s="45" t="str">
        <f t="shared" ref="J55:J56" si="10">IF(F55="Yes","Y","N")</f>
        <v>N</v>
      </c>
      <c r="K55" s="45" t="str">
        <f t="shared" si="9"/>
        <v/>
      </c>
      <c r="L55" s="15"/>
      <c r="M55" s="15"/>
      <c r="N55" s="15"/>
      <c r="O55" s="15"/>
      <c r="P55" s="15"/>
      <c r="Q55" s="15"/>
      <c r="R55" s="15"/>
      <c r="S55" s="15"/>
      <c r="T55" s="15"/>
      <c r="U55" s="15"/>
      <c r="V55" s="15"/>
      <c r="W55" s="15"/>
      <c r="X55" s="15"/>
      <c r="Y55" s="15"/>
      <c r="Z55" s="15"/>
    </row>
    <row r="56" ht="12.0" customHeight="1">
      <c r="A56" s="39">
        <v>12.0</v>
      </c>
      <c r="B56" s="86" t="s">
        <v>346</v>
      </c>
      <c r="C56" s="39">
        <v>1.0</v>
      </c>
      <c r="D56" s="45" t="s">
        <v>516</v>
      </c>
      <c r="E56" s="45" t="s">
        <v>445</v>
      </c>
      <c r="F56" s="45"/>
      <c r="G56" s="45" t="str">
        <f>IF(F56="Yes","Access is restricted to logs, support or admin team has the access.",IF(OR(F56="No",F56="NA"),"Recommended to restrict  access to logs. Enable access to only support or admin team.",""))</f>
        <v/>
      </c>
      <c r="H56" s="64" t="s">
        <v>517</v>
      </c>
      <c r="I56" s="45"/>
      <c r="J56" s="45" t="str">
        <f t="shared" si="10"/>
        <v>N</v>
      </c>
      <c r="K56" s="45" t="str">
        <f t="shared" si="9"/>
        <v/>
      </c>
      <c r="L56" s="15"/>
      <c r="M56" s="15"/>
      <c r="N56" s="15"/>
      <c r="O56" s="15"/>
      <c r="P56" s="15"/>
      <c r="Q56" s="15"/>
      <c r="R56" s="15"/>
      <c r="S56" s="15"/>
      <c r="T56" s="15"/>
      <c r="U56" s="15"/>
      <c r="V56" s="15"/>
      <c r="W56" s="15"/>
      <c r="X56" s="15"/>
      <c r="Y56" s="15"/>
      <c r="Z56" s="15"/>
    </row>
    <row r="57" ht="12.0" customHeight="1">
      <c r="A57" s="39">
        <v>13.0</v>
      </c>
      <c r="B57" s="86" t="s">
        <v>353</v>
      </c>
      <c r="C57" s="65">
        <v>1.0</v>
      </c>
      <c r="D57" s="45" t="s">
        <v>518</v>
      </c>
      <c r="E57" s="45" t="str">
        <f>IF('Asset Info'!B10="No","No","Yes")</f>
        <v>Yes</v>
      </c>
      <c r="F57" s="45"/>
      <c r="G57" s="45" t="str">
        <f>IF(F57="Yes","Admin audit-trail is encrypted and protect it from admin.",IF(OR(F57="No",F57="NA"),"Recommended to encrypt admin audit-trail and protect it from admin.",""))</f>
        <v/>
      </c>
      <c r="H57" s="55" t="s">
        <v>46</v>
      </c>
      <c r="I57" s="45"/>
      <c r="J57" s="45" t="str">
        <f>IF('Asset Info'!B10="No","Y",IF(F57="Yes","Y","N"))</f>
        <v>N</v>
      </c>
      <c r="K57" s="45" t="str">
        <f t="shared" si="9"/>
        <v/>
      </c>
      <c r="L57" s="15"/>
      <c r="M57" s="15"/>
      <c r="N57" s="15"/>
      <c r="O57" s="15"/>
      <c r="P57" s="15"/>
      <c r="Q57" s="15"/>
      <c r="R57" s="15"/>
      <c r="S57" s="15"/>
      <c r="T57" s="15"/>
      <c r="U57" s="15"/>
      <c r="V57" s="15"/>
      <c r="W57" s="15"/>
      <c r="X57" s="15"/>
      <c r="Y57" s="15"/>
      <c r="Z57" s="15"/>
    </row>
    <row r="58" ht="12.0" customHeight="1">
      <c r="A58" s="85" t="s">
        <v>519</v>
      </c>
      <c r="B58" s="4"/>
      <c r="C58" s="4"/>
      <c r="D58" s="4"/>
      <c r="E58" s="4"/>
      <c r="F58" s="4"/>
      <c r="G58" s="4"/>
      <c r="H58" s="4"/>
      <c r="I58" s="4"/>
      <c r="J58" s="4"/>
      <c r="K58" s="11"/>
      <c r="L58" s="15"/>
      <c r="M58" s="15"/>
      <c r="N58" s="15"/>
      <c r="O58" s="15"/>
      <c r="P58" s="15"/>
      <c r="Q58" s="15"/>
      <c r="R58" s="15"/>
      <c r="S58" s="15"/>
      <c r="T58" s="15"/>
      <c r="U58" s="15"/>
      <c r="V58" s="15"/>
      <c r="W58" s="15"/>
      <c r="X58" s="15"/>
      <c r="Y58" s="15"/>
      <c r="Z58" s="15"/>
    </row>
    <row r="59" ht="12.0" customHeight="1">
      <c r="A59" s="65">
        <v>1.0</v>
      </c>
      <c r="B59" s="86" t="s">
        <v>362</v>
      </c>
      <c r="C59" s="65">
        <v>1.0</v>
      </c>
      <c r="D59" s="45" t="s">
        <v>520</v>
      </c>
      <c r="E59" s="45" t="str">
        <f>IF(F4="Yes","No","Yes")</f>
        <v>Yes</v>
      </c>
      <c r="F59" s="45"/>
      <c r="G59" s="45" t="str">
        <f>IF(F59="Yes","Each request is validated for authorization before accesing a page.",IF(OR(F59="No",F59="NA"),"Recommended to validate each request for authorization.",""))</f>
        <v/>
      </c>
      <c r="H59" s="64" t="s">
        <v>521</v>
      </c>
      <c r="I59" s="45"/>
      <c r="J59" s="45" t="str">
        <f>IF(F4="Yes","Y",IF(F59="Yes","Y","N"))</f>
        <v>N</v>
      </c>
      <c r="K59" s="45" t="str">
        <f t="shared" ref="K59:K60" si="11">IF(AND(OR(F59="No",F59="NA"),ISBLANK(H59)),"Please enter your comments","")</f>
        <v/>
      </c>
      <c r="L59" s="15"/>
      <c r="M59" s="15"/>
      <c r="N59" s="15"/>
      <c r="O59" s="15"/>
      <c r="P59" s="15"/>
      <c r="Q59" s="15"/>
      <c r="R59" s="15"/>
      <c r="S59" s="15"/>
      <c r="T59" s="15"/>
      <c r="U59" s="15"/>
      <c r="V59" s="15"/>
      <c r="W59" s="15"/>
      <c r="X59" s="15"/>
      <c r="Y59" s="15"/>
      <c r="Z59" s="15"/>
    </row>
    <row r="60" ht="12.0" customHeight="1">
      <c r="A60" s="65">
        <v>2.0</v>
      </c>
      <c r="B60" s="86" t="s">
        <v>363</v>
      </c>
      <c r="C60" s="65">
        <v>1.0</v>
      </c>
      <c r="D60" s="45" t="s">
        <v>522</v>
      </c>
      <c r="E60" s="45" t="str">
        <f>IF(F4="Yes","No","Yes")</f>
        <v>Yes</v>
      </c>
      <c r="F60" s="45"/>
      <c r="G60" s="45" t="str">
        <f>IF(F60="Yes","The access control decisions are always based on server side data.",IF(OR(F60="No",F60="NA"),"Recommended that decisions for access controls are always taken based on the server side data.",""))</f>
        <v/>
      </c>
      <c r="H60" s="64" t="s">
        <v>523</v>
      </c>
      <c r="I60" s="45"/>
      <c r="J60" s="45" t="str">
        <f>IF(F4="Yes","Y",IF(F60="Yes","Y","N"))</f>
        <v>N</v>
      </c>
      <c r="K60" s="45" t="str">
        <f t="shared" si="11"/>
        <v/>
      </c>
      <c r="L60" s="15"/>
      <c r="M60" s="15"/>
      <c r="N60" s="15"/>
      <c r="O60" s="15"/>
      <c r="P60" s="15"/>
      <c r="Q60" s="15"/>
      <c r="R60" s="15"/>
      <c r="S60" s="15"/>
      <c r="T60" s="15"/>
      <c r="U60" s="15"/>
      <c r="V60" s="15"/>
      <c r="W60" s="15"/>
      <c r="X60" s="15"/>
      <c r="Y60" s="15"/>
      <c r="Z60" s="15"/>
    </row>
    <row r="61" ht="12.0" customHeight="1">
      <c r="A61" s="65">
        <v>3.0</v>
      </c>
      <c r="B61" s="86" t="s">
        <v>364</v>
      </c>
      <c r="C61" s="65">
        <v>1.0</v>
      </c>
      <c r="D61" s="45" t="s">
        <v>524</v>
      </c>
      <c r="E61" s="45" t="str">
        <f>IF(F4="Yes","No",IF(D61&lt;&gt;"NA","Yes","No"))</f>
        <v>Yes</v>
      </c>
      <c r="F61" s="45"/>
      <c r="G61" s="45" t="str">
        <f>IF(OR(F61="No",F61="NA"),"There are no anonymous users.","")</f>
        <v/>
      </c>
      <c r="H61" s="55" t="s">
        <v>46</v>
      </c>
      <c r="I61" s="45"/>
      <c r="J61" s="45" t="str">
        <f>IF(F4="Yes","Y",IF(F61="Yes",J62,IF(NOT(ISBLANK(F61)),"Y","N")))</f>
        <v>N</v>
      </c>
      <c r="K61" s="45" t="str">
        <f>IF(AND(F61="Yes",ISBLANK(H61)),"Please enter your comments","")</f>
        <v/>
      </c>
      <c r="L61" s="15"/>
      <c r="M61" s="15"/>
      <c r="N61" s="15"/>
      <c r="O61" s="15"/>
      <c r="P61" s="15"/>
      <c r="Q61" s="15"/>
      <c r="R61" s="15"/>
      <c r="S61" s="15"/>
      <c r="T61" s="15"/>
      <c r="U61" s="15"/>
      <c r="V61" s="15"/>
      <c r="W61" s="15"/>
      <c r="X61" s="15"/>
      <c r="Y61" s="15"/>
      <c r="Z61" s="15"/>
    </row>
    <row r="62" ht="12.0" customHeight="1">
      <c r="A62" s="65"/>
      <c r="B62" s="45"/>
      <c r="C62" s="65">
        <v>1.1</v>
      </c>
      <c r="D62" s="45" t="s">
        <v>525</v>
      </c>
      <c r="E62" s="45" t="str">
        <f>IF(F61="Yes","Yes","No")</f>
        <v>No</v>
      </c>
      <c r="F62" s="45"/>
      <c r="G62" s="45" t="str">
        <f>IF(F62="Yes","The application offers minimal functionality to the anonymus users.",IF(OR(F62="No",F62="NA"),"Recommended to offer minimal functionality to the anonymus users.",""))</f>
        <v/>
      </c>
      <c r="H62" s="64" t="s">
        <v>526</v>
      </c>
      <c r="I62" s="45"/>
      <c r="J62" s="45" t="str">
        <f>IF(F62="Yes","Y","N")</f>
        <v>N</v>
      </c>
      <c r="K62" s="45" t="str">
        <f t="shared" ref="K62:K63" si="12">IF(AND(OR(F62="No",F62="NA"),ISBLANK(H62)),"Please enter your comments","")</f>
        <v/>
      </c>
      <c r="L62" s="15"/>
      <c r="M62" s="15"/>
      <c r="N62" s="15"/>
      <c r="O62" s="15"/>
      <c r="P62" s="15"/>
      <c r="Q62" s="15"/>
      <c r="R62" s="15"/>
      <c r="S62" s="15"/>
      <c r="T62" s="15"/>
      <c r="U62" s="15"/>
      <c r="V62" s="15"/>
      <c r="W62" s="15"/>
      <c r="X62" s="15"/>
      <c r="Y62" s="15"/>
      <c r="Z62" s="15"/>
    </row>
    <row r="63" ht="12.0" customHeight="1">
      <c r="A63" s="65">
        <v>4.0</v>
      </c>
      <c r="B63" s="86" t="s">
        <v>366</v>
      </c>
      <c r="C63" s="65">
        <v>1.0</v>
      </c>
      <c r="D63" s="45" t="s">
        <v>527</v>
      </c>
      <c r="E63" s="45" t="str">
        <f>IF(D64="NA","No",IF(F64="Yes","No","Yes"))</f>
        <v>Yes</v>
      </c>
      <c r="F63" s="45"/>
      <c r="G63" s="45" t="str">
        <f>IF(F63="Yes","Centralized access control system is created through ACL.",IF(OR(F63="No",F63="NA"),"Recommended to create  centralized access control system through ACL.",""))</f>
        <v/>
      </c>
      <c r="H63" s="64" t="s">
        <v>528</v>
      </c>
      <c r="I63" s="45"/>
      <c r="J63" s="45" t="str">
        <f>IF(D64="NA","Y",IF(F63="Yes","Y","N"))</f>
        <v>N</v>
      </c>
      <c r="K63" s="45" t="str">
        <f t="shared" si="12"/>
        <v/>
      </c>
      <c r="L63" s="15"/>
      <c r="M63" s="15"/>
      <c r="N63" s="15"/>
      <c r="O63" s="15"/>
      <c r="P63" s="15"/>
      <c r="Q63" s="15"/>
      <c r="R63" s="15"/>
      <c r="S63" s="15"/>
      <c r="T63" s="15"/>
      <c r="U63" s="15"/>
      <c r="V63" s="15"/>
      <c r="W63" s="15"/>
      <c r="X63" s="15"/>
      <c r="Y63" s="15"/>
      <c r="Z63" s="15"/>
    </row>
    <row r="64" ht="12.0" customHeight="1">
      <c r="A64" s="65"/>
      <c r="B64" s="45"/>
      <c r="C64" s="66">
        <v>2.0</v>
      </c>
      <c r="D64" s="52" t="str">
        <f>IF(F4="Yes","NA","Others")</f>
        <v>Others</v>
      </c>
      <c r="E64" s="45" t="str">
        <f>IF(D64="NA","No",IF(F63="Yes","No","Yes"))</f>
        <v>Yes</v>
      </c>
      <c r="F64" s="45"/>
      <c r="G64" s="45"/>
      <c r="H64" s="45"/>
      <c r="I64" s="45"/>
      <c r="J64" s="45"/>
      <c r="K64" s="45" t="str">
        <f>IF(AND(F64="Yes",ISBLANK(H64)),"Please enter your comments","")</f>
        <v/>
      </c>
      <c r="L64" s="15"/>
      <c r="M64" s="15"/>
      <c r="N64" s="15"/>
      <c r="O64" s="15"/>
      <c r="P64" s="15"/>
      <c r="Q64" s="15"/>
      <c r="R64" s="15"/>
      <c r="S64" s="15"/>
      <c r="T64" s="15"/>
      <c r="U64" s="15"/>
      <c r="V64" s="15"/>
      <c r="W64" s="15"/>
      <c r="X64" s="15"/>
      <c r="Y64" s="15"/>
      <c r="Z64" s="15"/>
    </row>
    <row r="65" ht="12.0" customHeight="1">
      <c r="A65" s="65">
        <v>5.0</v>
      </c>
      <c r="B65" s="86" t="s">
        <v>367</v>
      </c>
      <c r="C65" s="39">
        <v>1.0</v>
      </c>
      <c r="D65" s="45" t="s">
        <v>529</v>
      </c>
      <c r="E65" s="45" t="str">
        <f>IF(F4="Yes","No","Yes")</f>
        <v>Yes</v>
      </c>
      <c r="F65" s="45"/>
      <c r="G65" s="45" t="str">
        <f>IF(F65="Yes","Privileges are provided incrimentally after creating the user intitially with zero privileges.",IF(OR(F65="No",F65="NA"),"Recommended to provide privileges incrimentally after creating the user intitially with zero privileges.",""))</f>
        <v/>
      </c>
      <c r="H65" s="55" t="s">
        <v>46</v>
      </c>
      <c r="I65" s="45"/>
      <c r="J65" s="45" t="str">
        <f>IF(F4="Yes","Y",IF(F65="Yes","Y","N"))</f>
        <v>N</v>
      </c>
      <c r="K65" s="45" t="str">
        <f t="shared" ref="K65:K68" si="13">IF(AND(OR(F65="No",F65="NA"),ISBLANK(H65)),"Please enter your comments","")</f>
        <v/>
      </c>
      <c r="L65" s="15"/>
      <c r="M65" s="15"/>
      <c r="N65" s="15"/>
      <c r="O65" s="15"/>
      <c r="P65" s="15"/>
      <c r="Q65" s="15"/>
      <c r="R65" s="15"/>
      <c r="S65" s="15"/>
      <c r="T65" s="15"/>
      <c r="U65" s="15"/>
      <c r="V65" s="15"/>
      <c r="W65" s="15"/>
      <c r="X65" s="15"/>
      <c r="Y65" s="15"/>
      <c r="Z65" s="15"/>
    </row>
    <row r="66" ht="12.0" customHeight="1">
      <c r="A66" s="65">
        <v>6.0</v>
      </c>
      <c r="B66" s="86" t="s">
        <v>368</v>
      </c>
      <c r="C66" s="39">
        <v>1.0</v>
      </c>
      <c r="D66" s="45" t="s">
        <v>530</v>
      </c>
      <c r="E66" s="45" t="s">
        <v>445</v>
      </c>
      <c r="F66" s="45"/>
      <c r="G66" s="45" t="str">
        <f>IF(F66="Yes","Data is classified to perform Encryption, Hashing, Encoding or Masking.",IF(OR(F66="No",F66="NA"),"Recommended to classify data to perform Encryption, Hashing, Encoding or Masking.",""))</f>
        <v/>
      </c>
      <c r="H66" s="64" t="s">
        <v>531</v>
      </c>
      <c r="I66" s="45"/>
      <c r="J66" s="45" t="str">
        <f t="shared" ref="J66:J67" si="14">IF(F66="Yes","Y","N")</f>
        <v>N</v>
      </c>
      <c r="K66" s="45" t="str">
        <f t="shared" si="13"/>
        <v/>
      </c>
      <c r="L66" s="15"/>
      <c r="M66" s="15"/>
      <c r="N66" s="15"/>
      <c r="O66" s="15"/>
      <c r="P66" s="15"/>
      <c r="Q66" s="15"/>
      <c r="R66" s="15"/>
      <c r="S66" s="15"/>
      <c r="T66" s="15"/>
      <c r="U66" s="15"/>
      <c r="V66" s="15"/>
      <c r="W66" s="15"/>
      <c r="X66" s="15"/>
      <c r="Y66" s="15"/>
      <c r="Z66" s="15"/>
    </row>
    <row r="67" ht="12.0" customHeight="1">
      <c r="A67" s="65">
        <v>7.0</v>
      </c>
      <c r="B67" s="86" t="s">
        <v>369</v>
      </c>
      <c r="C67" s="39">
        <v>1.0</v>
      </c>
      <c r="D67" s="45" t="s">
        <v>532</v>
      </c>
      <c r="E67" s="45" t="s">
        <v>445</v>
      </c>
      <c r="F67" s="45"/>
      <c r="G67" s="45" t="str">
        <f>IF(F67="Yes","Normal user is restricted to access the system resources and is given access based on the need.",IF(OR(F67="No",F67="NA"),"Recommended to restrict a normal user's access to system resources.",""))</f>
        <v/>
      </c>
      <c r="H67" s="64" t="s">
        <v>533</v>
      </c>
      <c r="I67" s="45"/>
      <c r="J67" s="45" t="str">
        <f t="shared" si="14"/>
        <v>N</v>
      </c>
      <c r="K67" s="45" t="str">
        <f t="shared" si="13"/>
        <v/>
      </c>
      <c r="L67" s="15"/>
      <c r="M67" s="15"/>
      <c r="N67" s="15"/>
      <c r="O67" s="15"/>
      <c r="P67" s="15"/>
      <c r="Q67" s="15"/>
      <c r="R67" s="15"/>
      <c r="S67" s="15"/>
      <c r="T67" s="15"/>
      <c r="U67" s="15"/>
      <c r="V67" s="15"/>
      <c r="W67" s="15"/>
      <c r="X67" s="15"/>
      <c r="Y67" s="15"/>
      <c r="Z67" s="15"/>
    </row>
    <row r="68" ht="12.0" customHeight="1">
      <c r="A68" s="39">
        <v>8.0</v>
      </c>
      <c r="B68" s="86" t="s">
        <v>371</v>
      </c>
      <c r="C68" s="65">
        <v>1.0</v>
      </c>
      <c r="D68" s="45" t="s">
        <v>534</v>
      </c>
      <c r="E68" s="45" t="str">
        <f>IF(F34="Yes","Yes","No")</f>
        <v>No</v>
      </c>
      <c r="F68" s="45"/>
      <c r="G68" s="45" t="str">
        <f>IF(F68="Yes","Audit trails are maintained for sensitive transactions.",IF(OR(F68="No",F68="NA"),"Recommended to maintain Audit Trails for sensitive Transactions.",""))</f>
        <v/>
      </c>
      <c r="H68" s="64" t="s">
        <v>535</v>
      </c>
      <c r="I68" s="45"/>
      <c r="J68" s="45" t="str">
        <f>IF(E68="No","Y",IF(OR(OR(F34="No",F34="NA"),F68="Yes"),"Y","N"))</f>
        <v>Y</v>
      </c>
      <c r="K68" s="45" t="str">
        <f t="shared" si="13"/>
        <v/>
      </c>
      <c r="L68" s="15"/>
      <c r="M68" s="15"/>
      <c r="N68" s="15"/>
      <c r="O68" s="15"/>
      <c r="P68" s="15"/>
      <c r="Q68" s="15"/>
      <c r="R68" s="15"/>
      <c r="S68" s="15"/>
      <c r="T68" s="15"/>
      <c r="U68" s="15"/>
      <c r="V68" s="15"/>
      <c r="W68" s="15"/>
      <c r="X68" s="15"/>
      <c r="Y68" s="15"/>
      <c r="Z68" s="15"/>
    </row>
    <row r="69" ht="12.0" customHeight="1">
      <c r="A69" s="65">
        <v>9.0</v>
      </c>
      <c r="B69" s="86" t="s">
        <v>372</v>
      </c>
      <c r="C69" s="65">
        <v>1.0</v>
      </c>
      <c r="D69" s="45" t="s">
        <v>536</v>
      </c>
      <c r="E69" s="45" t="str">
        <f>IF(D69&lt;&gt;"NA","Yes","No")</f>
        <v>Yes</v>
      </c>
      <c r="F69" s="45"/>
      <c r="G69" s="45" t="str">
        <f>IF(OR(F69="No",F69="NA"),"No sensitive content is generated.","")</f>
        <v/>
      </c>
      <c r="H69" s="55" t="s">
        <v>46</v>
      </c>
      <c r="I69" s="45"/>
      <c r="J69" s="45" t="str">
        <f>IF(F69="Yes",J70,IF(NOT(ISBLANK(F69)),"Y","N"))</f>
        <v>N</v>
      </c>
      <c r="K69" s="45"/>
      <c r="L69" s="15"/>
      <c r="M69" s="15"/>
      <c r="N69" s="15"/>
      <c r="O69" s="15"/>
      <c r="P69" s="15"/>
      <c r="Q69" s="15"/>
      <c r="R69" s="15"/>
      <c r="S69" s="15"/>
      <c r="T69" s="15"/>
      <c r="U69" s="15"/>
      <c r="V69" s="15"/>
      <c r="W69" s="15"/>
      <c r="X69" s="15"/>
      <c r="Y69" s="15"/>
      <c r="Z69" s="15"/>
    </row>
    <row r="70" ht="12.0" customHeight="1">
      <c r="A70" s="65"/>
      <c r="B70" s="45"/>
      <c r="C70" s="65">
        <v>1.1</v>
      </c>
      <c r="D70" s="45" t="s">
        <v>537</v>
      </c>
      <c r="E70" s="45" t="str">
        <f>IF(F69="Yes","Yes","No")</f>
        <v>No</v>
      </c>
      <c r="F70" s="45"/>
      <c r="G70" s="45" t="str">
        <f>IF(F70="Yes","Sensitive contenet is generated on the fly.",IF(OR(F70="No",F70="NA"),"Recommended to generate sensitive content on the fly and transmit it directly to the browser rather than saving it in the web server's file system.",""))</f>
        <v/>
      </c>
      <c r="H70" s="64" t="s">
        <v>538</v>
      </c>
      <c r="I70" s="45"/>
      <c r="J70" s="45" t="str">
        <f t="shared" ref="J70:J72" si="15">IF(F70="Yes","Y","N")</f>
        <v>N</v>
      </c>
      <c r="K70" s="45" t="str">
        <f t="shared" ref="K70:K73" si="16">IF(AND(OR(F70="No",F70="NA"),ISBLANK(H70)),"Please enter your comments","")</f>
        <v/>
      </c>
      <c r="L70" s="15"/>
      <c r="M70" s="15"/>
      <c r="N70" s="15"/>
      <c r="O70" s="15"/>
      <c r="P70" s="15"/>
      <c r="Q70" s="15"/>
      <c r="R70" s="15"/>
      <c r="S70" s="15"/>
      <c r="T70" s="15"/>
      <c r="U70" s="15"/>
      <c r="V70" s="15"/>
      <c r="W70" s="15"/>
      <c r="X70" s="15"/>
      <c r="Y70" s="15"/>
      <c r="Z70" s="15"/>
    </row>
    <row r="71" ht="12.0" customHeight="1">
      <c r="A71" s="65">
        <v>10.0</v>
      </c>
      <c r="B71" s="86" t="s">
        <v>373</v>
      </c>
      <c r="C71" s="39">
        <v>1.0</v>
      </c>
      <c r="D71" s="45" t="s">
        <v>539</v>
      </c>
      <c r="E71" s="45" t="s">
        <v>445</v>
      </c>
      <c r="F71" s="45"/>
      <c r="G71" s="45" t="str">
        <f>IF(F71="Yes"," Operational controls are implemented securely.",IF(OR(F71="No",F71="NA"),"Recommended to Implement Operational controls securely.",""))</f>
        <v/>
      </c>
      <c r="H71" s="64" t="s">
        <v>540</v>
      </c>
      <c r="I71" s="45"/>
      <c r="J71" s="45" t="str">
        <f t="shared" si="15"/>
        <v>N</v>
      </c>
      <c r="K71" s="45" t="str">
        <f t="shared" si="16"/>
        <v/>
      </c>
      <c r="L71" s="15"/>
      <c r="M71" s="15"/>
      <c r="N71" s="15"/>
      <c r="O71" s="15"/>
      <c r="P71" s="15"/>
      <c r="Q71" s="15"/>
      <c r="R71" s="15"/>
      <c r="S71" s="15"/>
      <c r="T71" s="15"/>
      <c r="U71" s="15"/>
      <c r="V71" s="15"/>
      <c r="W71" s="15"/>
      <c r="X71" s="15"/>
      <c r="Y71" s="15"/>
      <c r="Z71" s="15"/>
    </row>
    <row r="72" ht="12.0" customHeight="1">
      <c r="A72" s="65">
        <v>11.0</v>
      </c>
      <c r="B72" s="86" t="s">
        <v>375</v>
      </c>
      <c r="C72" s="39">
        <v>1.0</v>
      </c>
      <c r="D72" s="45" t="s">
        <v>541</v>
      </c>
      <c r="E72" s="45" t="s">
        <v>445</v>
      </c>
      <c r="F72" s="45"/>
      <c r="G72" s="45" t="str">
        <f>IF(F72="Yes","Alerts and warnings are implemented for anomalies &amp; misbehavior.",IF(OR(F72="No",F72="NA"),"Recommended to implement alerts and warnings for anomalies &amp; misbehavior.",""))</f>
        <v/>
      </c>
      <c r="H72" s="55" t="s">
        <v>46</v>
      </c>
      <c r="I72" s="45"/>
      <c r="J72" s="45" t="str">
        <f t="shared" si="15"/>
        <v>N</v>
      </c>
      <c r="K72" s="45" t="str">
        <f t="shared" si="16"/>
        <v/>
      </c>
      <c r="L72" s="15"/>
      <c r="M72" s="15"/>
      <c r="N72" s="15"/>
      <c r="O72" s="15"/>
      <c r="P72" s="15"/>
      <c r="Q72" s="15"/>
      <c r="R72" s="15"/>
      <c r="S72" s="15"/>
      <c r="T72" s="15"/>
      <c r="U72" s="15"/>
      <c r="V72" s="15"/>
      <c r="W72" s="15"/>
      <c r="X72" s="15"/>
      <c r="Y72" s="15"/>
      <c r="Z72" s="15"/>
    </row>
    <row r="73" ht="12.0" customHeight="1">
      <c r="A73" s="65">
        <v>12.0</v>
      </c>
      <c r="B73" s="86" t="s">
        <v>376</v>
      </c>
      <c r="C73" s="39">
        <v>1.0</v>
      </c>
      <c r="D73" s="45" t="s">
        <v>542</v>
      </c>
      <c r="E73" s="45" t="str">
        <f>IF(F34="Yes","Yes","No")</f>
        <v>No</v>
      </c>
      <c r="F73" s="45"/>
      <c r="G73" s="45" t="str">
        <f>IF(F73="Yes","Unique transaction Ids are generated for sensitive transactions",IF(OR(F73="No",F73="NA"),"Recommended to generate unique transaction ids for sensitive transactions",""))</f>
        <v/>
      </c>
      <c r="H73" s="64" t="s">
        <v>543</v>
      </c>
      <c r="I73" s="45"/>
      <c r="J73" s="45" t="str">
        <f>IF(E73="No","Y",IF(OR(OR(F34="No",F34="NA"),F73="Yes"),"Y","N"))</f>
        <v>Y</v>
      </c>
      <c r="K73" s="45" t="str">
        <f t="shared" si="16"/>
        <v/>
      </c>
      <c r="L73" s="15"/>
      <c r="M73" s="15"/>
      <c r="N73" s="15"/>
      <c r="O73" s="15"/>
      <c r="P73" s="15"/>
      <c r="Q73" s="15"/>
      <c r="R73" s="15"/>
      <c r="S73" s="15"/>
      <c r="T73" s="15"/>
      <c r="U73" s="15"/>
      <c r="V73" s="15"/>
      <c r="W73" s="15"/>
      <c r="X73" s="15"/>
      <c r="Y73" s="15"/>
      <c r="Z73" s="15"/>
    </row>
    <row r="74" ht="12.0" customHeight="1">
      <c r="A74" s="85" t="s">
        <v>544</v>
      </c>
      <c r="B74" s="4"/>
      <c r="C74" s="4"/>
      <c r="D74" s="4"/>
      <c r="E74" s="4"/>
      <c r="F74" s="4"/>
      <c r="G74" s="4"/>
      <c r="H74" s="4"/>
      <c r="I74" s="4"/>
      <c r="J74" s="4"/>
      <c r="K74" s="11"/>
      <c r="L74" s="15"/>
      <c r="M74" s="15"/>
      <c r="N74" s="15"/>
      <c r="O74" s="15"/>
      <c r="P74" s="15"/>
      <c r="Q74" s="15"/>
      <c r="R74" s="15"/>
      <c r="S74" s="15"/>
      <c r="T74" s="15"/>
      <c r="U74" s="15"/>
      <c r="V74" s="15"/>
      <c r="W74" s="15"/>
      <c r="X74" s="15"/>
      <c r="Y74" s="15"/>
      <c r="Z74" s="15"/>
    </row>
    <row r="75" ht="12.0" customHeight="1">
      <c r="A75" s="65">
        <v>1.0</v>
      </c>
      <c r="B75" s="86" t="s">
        <v>378</v>
      </c>
      <c r="C75" s="65">
        <v>1.0</v>
      </c>
      <c r="D75" s="45" t="s">
        <v>545</v>
      </c>
      <c r="E75" s="45" t="s">
        <v>445</v>
      </c>
      <c r="F75" s="45"/>
      <c r="G75" s="45" t="str">
        <f>IF(F75="Yes","Recommended not trust any inputs from user, service or APIs.",IF(OR(F75="No",F75="NA"),"Inputs from user, services/API are verified before using them.",""))</f>
        <v/>
      </c>
      <c r="H75" s="64" t="s">
        <v>546</v>
      </c>
      <c r="I75" s="45"/>
      <c r="J75" s="45" t="str">
        <f t="shared" ref="J75:J78" si="17">IF(F75="Yes","Y","N")</f>
        <v>N</v>
      </c>
      <c r="K75" s="45" t="str">
        <f t="shared" ref="K75:K78" si="18">IF(AND(OR(F75="No",F75="NA"),ISBLANK(H75)),"Please enter your comments","")</f>
        <v/>
      </c>
      <c r="L75" s="15"/>
      <c r="M75" s="15"/>
      <c r="N75" s="15"/>
      <c r="O75" s="15"/>
      <c r="P75" s="15"/>
      <c r="Q75" s="15"/>
      <c r="R75" s="15"/>
      <c r="S75" s="15"/>
      <c r="T75" s="15"/>
      <c r="U75" s="15"/>
      <c r="V75" s="15"/>
      <c r="W75" s="15"/>
      <c r="X75" s="15"/>
      <c r="Y75" s="15"/>
      <c r="Z75" s="15"/>
    </row>
    <row r="76" ht="12.0" customHeight="1">
      <c r="A76" s="65">
        <v>2.0</v>
      </c>
      <c r="B76" s="86" t="s">
        <v>379</v>
      </c>
      <c r="C76" s="65">
        <v>1.0</v>
      </c>
      <c r="D76" s="45" t="s">
        <v>547</v>
      </c>
      <c r="E76" s="45" t="s">
        <v>445</v>
      </c>
      <c r="F76" s="45"/>
      <c r="G76" s="45" t="str">
        <f>IF(F76="Yes","Whitelisting pattern is used while validating for malicious content instead of using blacklisting pattern.",IF(OR(F76="No",F76="NA"),"Recommended to use whitelisiting pattern over blacklisting while validating the malicious content.",""))</f>
        <v/>
      </c>
      <c r="H76" s="64" t="s">
        <v>548</v>
      </c>
      <c r="I76" s="45"/>
      <c r="J76" s="45" t="str">
        <f t="shared" si="17"/>
        <v>N</v>
      </c>
      <c r="K76" s="45" t="str">
        <f t="shared" si="18"/>
        <v/>
      </c>
      <c r="L76" s="15"/>
      <c r="M76" s="15"/>
      <c r="N76" s="15"/>
      <c r="O76" s="15"/>
      <c r="P76" s="15"/>
      <c r="Q76" s="15"/>
      <c r="R76" s="15"/>
      <c r="S76" s="15"/>
      <c r="T76" s="15"/>
      <c r="U76" s="15"/>
      <c r="V76" s="15"/>
      <c r="W76" s="15"/>
      <c r="X76" s="15"/>
      <c r="Y76" s="15"/>
      <c r="Z76" s="15"/>
    </row>
    <row r="77" ht="12.0" customHeight="1">
      <c r="A77" s="65">
        <v>3.0</v>
      </c>
      <c r="B77" s="86" t="s">
        <v>380</v>
      </c>
      <c r="C77" s="65">
        <v>1.0</v>
      </c>
      <c r="D77" s="45" t="s">
        <v>549</v>
      </c>
      <c r="E77" s="45" t="s">
        <v>445</v>
      </c>
      <c r="F77" s="45"/>
      <c r="G77" s="45" t="str">
        <f>IF(F77="Yes","Validations are done at server side.",IF(OR(F77="No",F77="NA"),"Recommended to validate data at the server side.",""))</f>
        <v/>
      </c>
      <c r="H77" s="64" t="s">
        <v>550</v>
      </c>
      <c r="I77" s="45"/>
      <c r="J77" s="45" t="str">
        <f t="shared" si="17"/>
        <v>N</v>
      </c>
      <c r="K77" s="45" t="str">
        <f t="shared" si="18"/>
        <v/>
      </c>
      <c r="L77" s="15"/>
      <c r="M77" s="15"/>
      <c r="N77" s="15"/>
      <c r="O77" s="15"/>
      <c r="P77" s="15"/>
      <c r="Q77" s="15"/>
      <c r="R77" s="15"/>
      <c r="S77" s="15"/>
      <c r="T77" s="15"/>
      <c r="U77" s="15"/>
      <c r="V77" s="15"/>
      <c r="W77" s="15"/>
      <c r="X77" s="15"/>
      <c r="Y77" s="15"/>
      <c r="Z77" s="15"/>
    </row>
    <row r="78" ht="12.0" customHeight="1">
      <c r="A78" s="65">
        <v>4.0</v>
      </c>
      <c r="B78" s="86" t="s">
        <v>382</v>
      </c>
      <c r="C78" s="65">
        <v>1.0</v>
      </c>
      <c r="D78" s="45" t="s">
        <v>551</v>
      </c>
      <c r="E78" s="45" t="s">
        <v>445</v>
      </c>
      <c r="F78" s="45"/>
      <c r="G78" s="45" t="str">
        <f>IF(F78="Yes","The source, context, syntax &amp; semantics of data is validated.",IF(OR(F78="No",F78="NA"),"Recommended to validate the source, context, syntax &amp; semantics of data.",""))</f>
        <v/>
      </c>
      <c r="H78" s="64" t="s">
        <v>552</v>
      </c>
      <c r="I78" s="45"/>
      <c r="J78" s="45" t="str">
        <f t="shared" si="17"/>
        <v>N</v>
      </c>
      <c r="K78" s="45" t="str">
        <f t="shared" si="18"/>
        <v/>
      </c>
      <c r="L78" s="15"/>
      <c r="M78" s="15"/>
      <c r="N78" s="15"/>
      <c r="O78" s="15"/>
      <c r="P78" s="15"/>
      <c r="Q78" s="15"/>
      <c r="R78" s="15"/>
      <c r="S78" s="15"/>
      <c r="T78" s="15"/>
      <c r="U78" s="15"/>
      <c r="V78" s="15"/>
      <c r="W78" s="15"/>
      <c r="X78" s="15"/>
      <c r="Y78" s="15"/>
      <c r="Z78" s="15"/>
    </row>
    <row r="79" ht="12.0" customHeight="1">
      <c r="A79" s="65">
        <v>5.0</v>
      </c>
      <c r="B79" s="86" t="s">
        <v>383</v>
      </c>
      <c r="C79" s="39">
        <v>1.0</v>
      </c>
      <c r="D79" s="45" t="s">
        <v>553</v>
      </c>
      <c r="E79" s="45" t="str">
        <f>IF(D79&lt;&gt;"NA","Yes","No")</f>
        <v>Yes</v>
      </c>
      <c r="F79" s="45"/>
      <c r="G79" s="45" t="str">
        <f>IF(OR(F79="No",F79="NA"),"No file are being processed by the application.","")</f>
        <v/>
      </c>
      <c r="H79" s="64" t="s">
        <v>554</v>
      </c>
      <c r="I79" s="45"/>
      <c r="J79" s="45" t="str">
        <f>IF(F79="Yes",J80,IF(NOT(ISBLANK(F79)),"Y","N"))</f>
        <v>N</v>
      </c>
      <c r="K79" s="45"/>
      <c r="L79" s="15"/>
      <c r="M79" s="15"/>
      <c r="N79" s="15"/>
      <c r="O79" s="15"/>
      <c r="P79" s="15"/>
      <c r="Q79" s="15"/>
      <c r="R79" s="15"/>
      <c r="S79" s="15"/>
      <c r="T79" s="15"/>
      <c r="U79" s="15"/>
      <c r="V79" s="15"/>
      <c r="W79" s="15"/>
      <c r="X79" s="15"/>
      <c r="Y79" s="15"/>
      <c r="Z79" s="15"/>
    </row>
    <row r="80" ht="12.0" customHeight="1">
      <c r="A80" s="65"/>
      <c r="B80" s="45"/>
      <c r="C80" s="65">
        <v>1.1</v>
      </c>
      <c r="D80" s="45" t="s">
        <v>555</v>
      </c>
      <c r="E80" s="45" t="str">
        <f>IF(F79="Yes","Yes","No")</f>
        <v>No</v>
      </c>
      <c r="F80" s="45"/>
      <c r="G80" s="45" t="str">
        <f>IF(F80="Yes","The file type, length, magic number &amp; size are checked for the file.",IF(OR(F80="No",F80="NA"),"Recommended to check  the file type, leagth, magic number &amp; size for the file.",""))</f>
        <v/>
      </c>
      <c r="H80" s="45"/>
      <c r="I80" s="45"/>
      <c r="J80" s="45" t="str">
        <f t="shared" ref="J80:J82" si="19">IF(F80="Yes","Y","N")</f>
        <v>N</v>
      </c>
      <c r="K80" s="45" t="str">
        <f t="shared" ref="K80:K82" si="20">IF(AND(OR(F80="No",F80="NA"),ISBLANK(H80)),"Please enter your comments","")</f>
        <v/>
      </c>
      <c r="L80" s="15"/>
      <c r="M80" s="15"/>
      <c r="N80" s="15"/>
      <c r="O80" s="15"/>
      <c r="P80" s="15"/>
      <c r="Q80" s="15"/>
      <c r="R80" s="15"/>
      <c r="S80" s="15"/>
      <c r="T80" s="15"/>
      <c r="U80" s="15"/>
      <c r="V80" s="15"/>
      <c r="W80" s="15"/>
      <c r="X80" s="15"/>
      <c r="Y80" s="15"/>
      <c r="Z80" s="15"/>
    </row>
    <row r="81" ht="12.0" customHeight="1">
      <c r="A81" s="65">
        <v>6.0</v>
      </c>
      <c r="B81" s="86" t="s">
        <v>384</v>
      </c>
      <c r="C81" s="65">
        <v>1.0</v>
      </c>
      <c r="D81" s="45" t="s">
        <v>556</v>
      </c>
      <c r="E81" s="45" t="s">
        <v>445</v>
      </c>
      <c r="F81" s="45"/>
      <c r="G81" s="45" t="str">
        <f>IF(F81="Yes","Centralized methods are  implemented for validation.",IF(OR(F81="No",F81="NA"),"Recommended to implement centralized methods for validation.",""))</f>
        <v/>
      </c>
      <c r="H81" s="64" t="s">
        <v>557</v>
      </c>
      <c r="I81" s="45"/>
      <c r="J81" s="45" t="str">
        <f t="shared" si="19"/>
        <v>N</v>
      </c>
      <c r="K81" s="45" t="str">
        <f t="shared" si="20"/>
        <v/>
      </c>
      <c r="L81" s="15"/>
      <c r="M81" s="15"/>
      <c r="N81" s="15"/>
      <c r="O81" s="15"/>
      <c r="P81" s="15"/>
      <c r="Q81" s="15"/>
      <c r="R81" s="15"/>
      <c r="S81" s="15"/>
      <c r="T81" s="15"/>
      <c r="U81" s="15"/>
      <c r="V81" s="15"/>
      <c r="W81" s="15"/>
      <c r="X81" s="15"/>
      <c r="Y81" s="15"/>
      <c r="Z81" s="15"/>
    </row>
    <row r="82" ht="12.0" customHeight="1">
      <c r="A82" s="65">
        <v>7.0</v>
      </c>
      <c r="B82" s="86" t="s">
        <v>385</v>
      </c>
      <c r="C82" s="65">
        <v>1.0</v>
      </c>
      <c r="D82" s="45" t="s">
        <v>558</v>
      </c>
      <c r="E82" s="45" t="str">
        <f>IF(F83="Yes","No","Yes")</f>
        <v>Yes</v>
      </c>
      <c r="F82" s="45"/>
      <c r="G82" s="45" t="str">
        <f>IF(F82="Yes","The application uses standard APIs for verification.",IF(OR(F82="No",F82="NA"),"Recommended to use standard APIs for verification.",""))</f>
        <v/>
      </c>
      <c r="H82" s="64" t="s">
        <v>559</v>
      </c>
      <c r="I82" s="45"/>
      <c r="J82" s="45" t="str">
        <f t="shared" si="19"/>
        <v>N</v>
      </c>
      <c r="K82" s="45" t="str">
        <f t="shared" si="20"/>
        <v/>
      </c>
      <c r="L82" s="15"/>
      <c r="M82" s="15"/>
      <c r="N82" s="15"/>
      <c r="O82" s="15"/>
      <c r="P82" s="15"/>
      <c r="Q82" s="15"/>
      <c r="R82" s="15"/>
      <c r="S82" s="15"/>
      <c r="T82" s="15"/>
      <c r="U82" s="15"/>
      <c r="V82" s="15"/>
      <c r="W82" s="15"/>
      <c r="X82" s="15"/>
      <c r="Y82" s="15"/>
      <c r="Z82" s="15"/>
    </row>
    <row r="83" ht="12.0" customHeight="1">
      <c r="A83" s="65"/>
      <c r="B83" s="45"/>
      <c r="C83" s="65">
        <v>2.0</v>
      </c>
      <c r="D83" s="45" t="s">
        <v>67</v>
      </c>
      <c r="E83" s="45" t="str">
        <f>IF(F82="Yes","No","Yes")</f>
        <v>Yes</v>
      </c>
      <c r="F83" s="45"/>
      <c r="G83" s="45"/>
      <c r="H83" s="45"/>
      <c r="I83" s="45"/>
      <c r="J83" s="45"/>
      <c r="K83" s="45" t="str">
        <f>IF(AND(F83="Yes",ISBLANK(H83)),"Please enter your comments","")</f>
        <v/>
      </c>
      <c r="L83" s="15"/>
      <c r="M83" s="15"/>
      <c r="N83" s="15"/>
      <c r="O83" s="15"/>
      <c r="P83" s="15"/>
      <c r="Q83" s="15"/>
      <c r="R83" s="15"/>
      <c r="S83" s="15"/>
      <c r="T83" s="15"/>
      <c r="U83" s="15"/>
      <c r="V83" s="15"/>
      <c r="W83" s="15"/>
      <c r="X83" s="15"/>
      <c r="Y83" s="15"/>
      <c r="Z83" s="15"/>
    </row>
    <row r="84" ht="12.0" customHeight="1">
      <c r="A84" s="65">
        <v>6.0</v>
      </c>
      <c r="B84" s="86" t="s">
        <v>386</v>
      </c>
      <c r="C84" s="65">
        <v>1.0</v>
      </c>
      <c r="D84" s="45" t="s">
        <v>560</v>
      </c>
      <c r="E84" s="45" t="s">
        <v>445</v>
      </c>
      <c r="F84" s="45"/>
      <c r="G84" s="45" t="str">
        <f>IF(F84="Yes","Validation is done or data locking is performed at the time of usage.",IF(OR(F84="No",F84="NA"),"Recommended to validate the data or appropriate locking is done at the time of usage.",""))</f>
        <v/>
      </c>
      <c r="H84" s="64" t="s">
        <v>561</v>
      </c>
      <c r="I84" s="45"/>
      <c r="J84" s="45" t="str">
        <f>IF(F84="Yes","Y","N")</f>
        <v>N</v>
      </c>
      <c r="K84" s="45" t="str">
        <f>IF(AND(OR(F84="No",F84="NA"),ISBLANK(#REF!)),"Please enter your comments","")</f>
        <v/>
      </c>
      <c r="L84" s="15"/>
      <c r="M84" s="15"/>
      <c r="N84" s="15"/>
      <c r="O84" s="15"/>
      <c r="P84" s="15"/>
      <c r="Q84" s="15"/>
      <c r="R84" s="15"/>
      <c r="S84" s="15"/>
      <c r="T84" s="15"/>
      <c r="U84" s="15"/>
      <c r="V84" s="15"/>
      <c r="W84" s="15"/>
      <c r="X84" s="15"/>
      <c r="Y84" s="15"/>
      <c r="Z84" s="15"/>
    </row>
    <row r="85" ht="12.0" customHeight="1">
      <c r="A85" s="85" t="s">
        <v>388</v>
      </c>
      <c r="B85" s="4"/>
      <c r="C85" s="4"/>
      <c r="D85" s="4"/>
      <c r="E85" s="4"/>
      <c r="F85" s="4"/>
      <c r="G85" s="4"/>
      <c r="H85" s="4"/>
      <c r="I85" s="4"/>
      <c r="J85" s="4"/>
      <c r="K85" s="11"/>
      <c r="L85" s="15"/>
      <c r="M85" s="15"/>
      <c r="N85" s="15"/>
      <c r="O85" s="15"/>
      <c r="P85" s="15"/>
      <c r="Q85" s="15"/>
      <c r="R85" s="15"/>
      <c r="S85" s="15"/>
      <c r="T85" s="15"/>
      <c r="U85" s="15"/>
      <c r="V85" s="15"/>
      <c r="W85" s="15"/>
      <c r="X85" s="15"/>
      <c r="Y85" s="15"/>
      <c r="Z85" s="15"/>
    </row>
    <row r="86" ht="12.0" customHeight="1">
      <c r="A86" s="65">
        <v>1.0</v>
      </c>
      <c r="B86" s="86" t="s">
        <v>389</v>
      </c>
      <c r="C86" s="39">
        <v>1.0</v>
      </c>
      <c r="D86" s="52" t="s">
        <v>562</v>
      </c>
      <c r="E86" s="45" t="str">
        <f>IF(F4="Yes","No","Yes")</f>
        <v>Yes</v>
      </c>
      <c r="F86" s="45"/>
      <c r="H86" s="64" t="s">
        <v>563</v>
      </c>
      <c r="I86" s="45"/>
      <c r="J86" s="45" t="str">
        <f>IF(F4="Yes","Y",J87)</f>
        <v>N</v>
      </c>
      <c r="K86" s="45" t="str">
        <f>IF(AND(OR(F86="No",F86="NA"),ISBLANK(H84)),"Please enter your comments","")</f>
        <v/>
      </c>
      <c r="L86" s="15"/>
      <c r="M86" s="15"/>
      <c r="N86" s="15"/>
      <c r="O86" s="15"/>
      <c r="P86" s="15"/>
      <c r="Q86" s="15"/>
      <c r="R86" s="15"/>
      <c r="S86" s="15"/>
      <c r="T86" s="15"/>
      <c r="U86" s="15"/>
      <c r="V86" s="15"/>
      <c r="W86" s="15"/>
      <c r="X86" s="15"/>
      <c r="Y86" s="15"/>
      <c r="Z86" s="15"/>
    </row>
    <row r="87" ht="12.0" customHeight="1">
      <c r="A87" s="65"/>
      <c r="B87" s="45"/>
      <c r="C87" s="65">
        <v>1.1</v>
      </c>
      <c r="D87" s="45" t="s">
        <v>564</v>
      </c>
      <c r="E87" s="45" t="str">
        <f>IF(F86="Yes","Yes","No")</f>
        <v>No</v>
      </c>
      <c r="F87" s="45"/>
      <c r="G87" s="45" t="str">
        <f>IF(OR(F87="No",F87="NA"),"Application has configurable timeout. However recommend to invalidate  the session on 30mins idle time at server side.","")</f>
        <v/>
      </c>
      <c r="H87" s="55" t="s">
        <v>46</v>
      </c>
      <c r="I87" s="45"/>
      <c r="J87" s="45" t="str">
        <f>IF(F87="Yes",J88,"N")</f>
        <v>N</v>
      </c>
      <c r="K87" s="45" t="str">
        <f t="shared" ref="K87:K89" si="21">IF(AND(OR(F87="No",F87="NA"),ISBLANK(H87)),"Please enter your comments","")</f>
        <v/>
      </c>
      <c r="L87" s="15"/>
      <c r="M87" s="15"/>
      <c r="N87" s="15"/>
      <c r="O87" s="15"/>
      <c r="P87" s="15"/>
      <c r="Q87" s="15"/>
      <c r="R87" s="15"/>
      <c r="S87" s="15"/>
      <c r="T87" s="15"/>
      <c r="U87" s="15"/>
      <c r="V87" s="15"/>
      <c r="W87" s="15"/>
      <c r="X87" s="15"/>
      <c r="Y87" s="15"/>
      <c r="Z87" s="15"/>
    </row>
    <row r="88" ht="12.0" customHeight="1">
      <c r="A88" s="65"/>
      <c r="B88" s="45"/>
      <c r="C88" s="65" t="s">
        <v>565</v>
      </c>
      <c r="D88" s="52" t="s">
        <v>566</v>
      </c>
      <c r="E88" s="45" t="str">
        <f>IF(AND(F86="Yes",F87="Yes"),"Yes","No")</f>
        <v>No</v>
      </c>
      <c r="F88" s="45"/>
      <c r="G88" s="45" t="str">
        <f>IF(F88="Yes","Application has configurable session timeout with max of 30mins. Session is invalidated on time-out at server side.",IF(OR(F88="No",F88="NA"),"Application has configurable timeout with max of 30mins. However recommend to invalidate the session on timeout at server side.",""))</f>
        <v/>
      </c>
      <c r="H88" s="64" t="s">
        <v>567</v>
      </c>
      <c r="I88" s="45"/>
      <c r="J88" s="45" t="str">
        <f>IF(F88="Yes","Y","N")</f>
        <v>N</v>
      </c>
      <c r="K88" s="45" t="str">
        <f t="shared" si="21"/>
        <v/>
      </c>
      <c r="L88" s="15"/>
      <c r="M88" s="15"/>
      <c r="N88" s="15"/>
      <c r="O88" s="15"/>
      <c r="P88" s="15"/>
      <c r="Q88" s="15"/>
      <c r="R88" s="15"/>
      <c r="S88" s="15"/>
      <c r="T88" s="15"/>
      <c r="U88" s="15"/>
      <c r="V88" s="15"/>
      <c r="W88" s="15"/>
      <c r="X88" s="15"/>
      <c r="Y88" s="15"/>
      <c r="Z88" s="15"/>
    </row>
    <row r="89" ht="12.0" customHeight="1">
      <c r="A89" s="65">
        <v>2.0</v>
      </c>
      <c r="B89" s="86" t="s">
        <v>390</v>
      </c>
      <c r="C89" s="65">
        <v>1.0</v>
      </c>
      <c r="D89" s="45" t="s">
        <v>568</v>
      </c>
      <c r="E89" s="45" t="str">
        <f>IF(F4="Yes","No","Yes")</f>
        <v>Yes</v>
      </c>
      <c r="F89" s="45"/>
      <c r="G89" s="45" t="str">
        <f>IF(F89="Yes","Same SIDs are not reused after logout.",IF(OR(F89="No",F89="NA"),"Recommended not to reuse the same SID for same or other user after logout.",""))</f>
        <v/>
      </c>
      <c r="H89" s="64" t="s">
        <v>569</v>
      </c>
      <c r="I89" s="45"/>
      <c r="J89" s="45" t="str">
        <f>IF(F4="Yes","Y",IF(F89="Yes","Y","N"))</f>
        <v>N</v>
      </c>
      <c r="K89" s="45" t="str">
        <f t="shared" si="21"/>
        <v/>
      </c>
      <c r="L89" s="15"/>
      <c r="M89" s="15"/>
      <c r="N89" s="15"/>
      <c r="O89" s="15"/>
      <c r="P89" s="15"/>
      <c r="Q89" s="15"/>
      <c r="R89" s="15"/>
      <c r="S89" s="15"/>
      <c r="T89" s="15"/>
      <c r="U89" s="15"/>
      <c r="V89" s="15"/>
      <c r="W89" s="15"/>
      <c r="X89" s="15"/>
      <c r="Y89" s="15"/>
      <c r="Z89" s="15"/>
    </row>
    <row r="90" ht="12.0" customHeight="1">
      <c r="A90" s="65">
        <v>3.0</v>
      </c>
      <c r="B90" s="86" t="s">
        <v>392</v>
      </c>
      <c r="C90" s="65">
        <v>1.0</v>
      </c>
      <c r="D90" s="45" t="s">
        <v>570</v>
      </c>
      <c r="E90" s="45" t="str">
        <f>IF(F4="Yes","No","Yes")</f>
        <v>Yes</v>
      </c>
      <c r="F90" s="45"/>
      <c r="G90" s="45" t="str">
        <f>IF(F90="Yes","Session Identifiers must not be stored in query strings or hidden parameters.",IF(OR(F90="No",F90="NA"),"Session Identifiers are not stored in query strings or hidden parameters.",""))</f>
        <v/>
      </c>
      <c r="H90" s="64" t="s">
        <v>571</v>
      </c>
      <c r="I90" s="45"/>
      <c r="J90" s="45" t="str">
        <f>IF(F4="Yes","Y",IF(F90="Yes","N",IF(NOT(ISBLANK(F90)),"Y","N")))</f>
        <v>N</v>
      </c>
      <c r="K90" s="45" t="str">
        <f>IF(AND(F90="Yes",ISBLANK(H90)),"Please enter your comments","")</f>
        <v/>
      </c>
      <c r="L90" s="15"/>
      <c r="M90" s="15"/>
      <c r="N90" s="15"/>
      <c r="O90" s="15"/>
      <c r="P90" s="15"/>
      <c r="Q90" s="15"/>
      <c r="R90" s="15"/>
      <c r="S90" s="15"/>
      <c r="T90" s="15"/>
      <c r="U90" s="15"/>
      <c r="V90" s="15"/>
      <c r="W90" s="15"/>
      <c r="X90" s="15"/>
      <c r="Y90" s="15"/>
      <c r="Z90" s="15"/>
    </row>
    <row r="91" ht="12.0" customHeight="1">
      <c r="A91" s="65">
        <v>4.0</v>
      </c>
      <c r="B91" s="86" t="s">
        <v>393</v>
      </c>
      <c r="C91" s="66">
        <v>1.0</v>
      </c>
      <c r="D91" s="52" t="s">
        <v>572</v>
      </c>
      <c r="E91" s="45" t="str">
        <f>IF(F4="Yes","No","Yes")</f>
        <v>Yes</v>
      </c>
      <c r="F91" s="45"/>
      <c r="G91" s="45" t="str">
        <f>IF(OR(F91="No","NA"),"Recommend to store the session identifiers or tokens securely at server side.","")</f>
        <v>#VALUE!</v>
      </c>
      <c r="H91" s="64" t="s">
        <v>573</v>
      </c>
      <c r="I91" s="45"/>
      <c r="J91" s="45" t="str">
        <f>IF(F4="Yes","Y",IF(F91&lt;&gt;"Yes","N",IF(COUNTIF(J92:J93,"Y")&gt;0,"Y","N")))</f>
        <v>N</v>
      </c>
      <c r="K91" s="45" t="str">
        <f>IF(AND(OR(F91="No",F91="NA"),ISBLANK(H91)),"Please enter your comments","")</f>
        <v/>
      </c>
      <c r="L91" s="15"/>
      <c r="M91" s="15"/>
      <c r="N91" s="15"/>
      <c r="O91" s="15"/>
      <c r="P91" s="15"/>
      <c r="Q91" s="15"/>
      <c r="R91" s="15"/>
      <c r="S91" s="15"/>
      <c r="T91" s="15"/>
      <c r="U91" s="15"/>
      <c r="V91" s="15"/>
      <c r="W91" s="15"/>
      <c r="X91" s="15"/>
      <c r="Y91" s="15"/>
      <c r="Z91" s="15"/>
    </row>
    <row r="92" ht="12.0" customHeight="1">
      <c r="A92" s="65"/>
      <c r="B92" s="45"/>
      <c r="C92" s="66">
        <v>1.1</v>
      </c>
      <c r="D92" s="52" t="s">
        <v>574</v>
      </c>
      <c r="E92" s="45" t="str">
        <f>IF(OR(COUNTIF(F93:F94,"Yes")&gt;0,F91&lt;&gt;"Yes"),"No","Yes")</f>
        <v>No</v>
      </c>
      <c r="F92" s="45"/>
      <c r="G92" s="45" t="str">
        <f>IF(F92="Yes","",IF(NOT(ISBLANK(F92)),"Session Ids are not stored in persistent storage.",""))</f>
        <v/>
      </c>
      <c r="H92" s="64" t="s">
        <v>575</v>
      </c>
      <c r="I92" s="45"/>
      <c r="J92" s="45" t="str">
        <f>IF(F92="Yes",J95,IF(NOT(ISBLANK(F92)),"Y","N"))</f>
        <v>N</v>
      </c>
      <c r="K92" s="45"/>
      <c r="L92" s="15"/>
      <c r="M92" s="15"/>
      <c r="N92" s="15"/>
      <c r="O92" s="15"/>
      <c r="P92" s="15"/>
      <c r="Q92" s="15"/>
      <c r="R92" s="15"/>
      <c r="S92" s="15"/>
      <c r="T92" s="15"/>
      <c r="U92" s="15"/>
      <c r="V92" s="15"/>
      <c r="W92" s="15"/>
      <c r="X92" s="15"/>
      <c r="Y92" s="15"/>
      <c r="Z92" s="15"/>
    </row>
    <row r="93" ht="12.0" customHeight="1">
      <c r="A93" s="65"/>
      <c r="B93" s="45"/>
      <c r="C93" s="66">
        <v>1.2</v>
      </c>
      <c r="D93" s="52" t="s">
        <v>576</v>
      </c>
      <c r="E93" s="45" t="str">
        <f>IF(OR(OR(F92="Yes",COUNTIF(F94,"Yes")&gt;0),F91&lt;&gt;"Yes"),"No","Yes")</f>
        <v>No</v>
      </c>
      <c r="F93" s="45"/>
      <c r="G93" s="45" t="str">
        <f>IF(F93="Yes","Session identifiers or tokens stored securely in server in-memory.","")</f>
        <v/>
      </c>
      <c r="H93" s="55" t="s">
        <v>46</v>
      </c>
      <c r="I93" s="45"/>
      <c r="J93" s="45" t="str">
        <f>IF(F93="Yes","Y","N")</f>
        <v>N</v>
      </c>
      <c r="K93" s="45"/>
      <c r="L93" s="15"/>
      <c r="M93" s="15"/>
      <c r="N93" s="15"/>
      <c r="O93" s="15"/>
      <c r="P93" s="15"/>
      <c r="Q93" s="15"/>
      <c r="R93" s="15"/>
      <c r="S93" s="15"/>
      <c r="T93" s="15"/>
      <c r="U93" s="15"/>
      <c r="V93" s="15"/>
      <c r="W93" s="15"/>
      <c r="X93" s="15"/>
      <c r="Y93" s="15"/>
      <c r="Z93" s="15"/>
    </row>
    <row r="94" ht="12.0" customHeight="1">
      <c r="A94" s="65"/>
      <c r="B94" s="45"/>
      <c r="C94" s="66">
        <v>1.3</v>
      </c>
      <c r="D94" s="52" t="s">
        <v>67</v>
      </c>
      <c r="E94" s="45" t="str">
        <f>IF(OR(COUNTIF(F92:F93,"Yes")&gt;0,F91&lt;&gt;"Yes"),"No","Yes")</f>
        <v>No</v>
      </c>
      <c r="F94" s="45"/>
      <c r="G94" s="45"/>
      <c r="H94" s="45"/>
      <c r="I94" s="45"/>
      <c r="J94" s="45"/>
      <c r="K94" s="45" t="str">
        <f>IF(AND(F94="Yes",ISBLANK(H94)),"Please enter your comments","")</f>
        <v/>
      </c>
      <c r="L94" s="15"/>
      <c r="M94" s="15"/>
      <c r="N94" s="15"/>
      <c r="O94" s="15"/>
      <c r="P94" s="15"/>
      <c r="Q94" s="15"/>
      <c r="R94" s="15"/>
      <c r="S94" s="15"/>
      <c r="T94" s="15"/>
      <c r="U94" s="15"/>
      <c r="V94" s="15"/>
      <c r="W94" s="15"/>
      <c r="X94" s="15"/>
      <c r="Y94" s="15"/>
      <c r="Z94" s="15"/>
    </row>
    <row r="95" ht="12.0" customHeight="1">
      <c r="A95" s="65"/>
      <c r="B95" s="45"/>
      <c r="C95" s="66" t="s">
        <v>565</v>
      </c>
      <c r="D95" s="52" t="s">
        <v>577</v>
      </c>
      <c r="E95" s="45" t="str">
        <f>IF(AND(F91="Yes",F92="Yes"),"Yes","No")</f>
        <v>No</v>
      </c>
      <c r="F95" s="45"/>
      <c r="G95" s="45"/>
      <c r="H95" s="64" t="s">
        <v>578</v>
      </c>
      <c r="I95" s="45"/>
      <c r="J95" s="45" t="str">
        <f>IF(F95="Yes","Y","N")</f>
        <v>N</v>
      </c>
      <c r="K95" s="45" t="str">
        <f t="shared" ref="K95:K98" si="22">IF(AND(OR(F95="No",F95="NA"),ISBLANK(H95)),"Please enter your comments","")</f>
        <v/>
      </c>
      <c r="L95" s="15"/>
      <c r="M95" s="15"/>
      <c r="N95" s="15"/>
      <c r="O95" s="15"/>
      <c r="P95" s="15"/>
      <c r="Q95" s="15"/>
      <c r="R95" s="15"/>
      <c r="S95" s="15"/>
      <c r="T95" s="15"/>
      <c r="U95" s="15"/>
      <c r="V95" s="15"/>
      <c r="W95" s="15"/>
      <c r="X95" s="15"/>
      <c r="Y95" s="15"/>
      <c r="Z95" s="15"/>
    </row>
    <row r="96" ht="12.0" customHeight="1">
      <c r="A96" s="39">
        <v>5.0</v>
      </c>
      <c r="B96" s="86" t="s">
        <v>394</v>
      </c>
      <c r="C96" s="65">
        <v>1.0</v>
      </c>
      <c r="D96" s="45" t="s">
        <v>579</v>
      </c>
      <c r="E96" s="45" t="str">
        <f>IF(F4="Yes","No","Yes")</f>
        <v>Yes</v>
      </c>
      <c r="F96" s="45"/>
      <c r="G96" s="45" t="str">
        <f>IF(F96="Yes","Session IDs are generated  with appropriate randomness and length using the framework's session manager ",IF(OR(F96="No",F96="NA"),"Recommended to use properly generated session IDs using framework's session manager.",""))</f>
        <v/>
      </c>
      <c r="H96" s="64" t="s">
        <v>580</v>
      </c>
      <c r="I96" s="45"/>
      <c r="J96" s="45" t="str">
        <f>IF(E96="No","Y",IF(F96="Yes","Y","N"))</f>
        <v>N</v>
      </c>
      <c r="K96" s="45" t="str">
        <f t="shared" si="22"/>
        <v/>
      </c>
      <c r="L96" s="15"/>
      <c r="M96" s="15"/>
      <c r="N96" s="15"/>
      <c r="O96" s="15"/>
      <c r="P96" s="15"/>
      <c r="Q96" s="15"/>
      <c r="R96" s="15"/>
      <c r="S96" s="15"/>
      <c r="T96" s="15"/>
      <c r="U96" s="15"/>
      <c r="V96" s="15"/>
      <c r="W96" s="15"/>
      <c r="X96" s="15"/>
      <c r="Y96" s="15"/>
      <c r="Z96" s="15"/>
    </row>
    <row r="97" ht="12.0" customHeight="1">
      <c r="A97" s="65">
        <v>6.0</v>
      </c>
      <c r="B97" s="86" t="s">
        <v>395</v>
      </c>
      <c r="C97" s="65">
        <v>1.0</v>
      </c>
      <c r="D97" s="45" t="s">
        <v>581</v>
      </c>
      <c r="E97" s="45" t="str">
        <f>IF('Asset Info'!B10="No","No",IF(F86="Yes","Yes","No"))</f>
        <v>No</v>
      </c>
      <c r="F97" s="45"/>
      <c r="G97" s="45" t="str">
        <f>IF(F97="Yes","Different session timeouts are configured for different roles or access areas.",IF(OR(F97="No",F97="NA"),"Recommended to configure different session timeouts for different roles or access areas.",""))</f>
        <v/>
      </c>
      <c r="H97" s="55" t="s">
        <v>46</v>
      </c>
      <c r="I97" s="45"/>
      <c r="J97" s="45" t="str">
        <f>IF(E97="No","Y",IF('Asset Info'!B10="No","Y",IF(F97="Yes","Y","N")))</f>
        <v>Y</v>
      </c>
      <c r="K97" s="45" t="str">
        <f t="shared" si="22"/>
        <v/>
      </c>
      <c r="L97" s="15"/>
      <c r="M97" s="15"/>
      <c r="N97" s="15"/>
      <c r="O97" s="15"/>
      <c r="P97" s="15"/>
      <c r="Q97" s="15"/>
      <c r="R97" s="15"/>
      <c r="S97" s="15"/>
      <c r="T97" s="15"/>
      <c r="U97" s="15"/>
      <c r="V97" s="15"/>
      <c r="W97" s="15"/>
      <c r="X97" s="15"/>
      <c r="Y97" s="15"/>
      <c r="Z97" s="15"/>
    </row>
    <row r="98" ht="12.0" customHeight="1">
      <c r="A98" s="65">
        <v>7.0</v>
      </c>
      <c r="B98" s="86" t="s">
        <v>396</v>
      </c>
      <c r="C98" s="65">
        <v>1.0</v>
      </c>
      <c r="D98" s="45" t="s">
        <v>582</v>
      </c>
      <c r="E98" s="45" t="str">
        <f>IF(F34="Yes","Yes","No")</f>
        <v>No</v>
      </c>
      <c r="F98" s="45"/>
      <c r="G98" s="45" t="str">
        <f>IF(F98="Yes","The application renews SIDs before sensitive transaction.",IF(OR(F98="No",F98="NA"),"Recommended to configure different session timeouts for different roles or access areas.",""))</f>
        <v/>
      </c>
      <c r="H98" s="55" t="s">
        <v>46</v>
      </c>
      <c r="I98" s="45"/>
      <c r="J98" s="45" t="str">
        <f>IF(E98="No","Y",IF(OR(OR(F34="No",F34="NA"),F98="Yes"),"Y","N"))</f>
        <v>Y</v>
      </c>
      <c r="K98" s="45" t="str">
        <f t="shared" si="22"/>
        <v/>
      </c>
      <c r="L98" s="15"/>
      <c r="M98" s="15"/>
      <c r="N98" s="15"/>
      <c r="O98" s="15"/>
      <c r="P98" s="15"/>
      <c r="Q98" s="15"/>
      <c r="R98" s="15"/>
      <c r="S98" s="15"/>
      <c r="T98" s="15"/>
      <c r="U98" s="15"/>
      <c r="V98" s="15"/>
      <c r="W98" s="15"/>
      <c r="X98" s="15"/>
      <c r="Y98" s="15"/>
      <c r="Z98" s="15"/>
    </row>
    <row r="99" ht="12.0" customHeight="1">
      <c r="A99" s="65">
        <v>8.0</v>
      </c>
      <c r="B99" s="86" t="s">
        <v>397</v>
      </c>
      <c r="C99" s="65">
        <v>1.0</v>
      </c>
      <c r="D99" s="45" t="s">
        <v>583</v>
      </c>
      <c r="E99" s="45" t="str">
        <f>IF(F34="Yes","Yes","No")</f>
        <v>No</v>
      </c>
      <c r="F99" s="45"/>
      <c r="G99" s="45" t="str">
        <f>IF(F99="Yes","Recommended not have multiple session IDs for same account at the same time.",IF(OR(F99="No",F99="NA"),"Recommended to renew SIDs before any critical/sensitive transactions.",""))</f>
        <v/>
      </c>
      <c r="H99" s="55" t="s">
        <v>46</v>
      </c>
      <c r="I99" s="45"/>
      <c r="J99" s="45" t="str">
        <f>IF(E99="No","Y",IF(OR(F34="No",F34="NA"),"Y",IF(F99="Yes","N",IF(NOT(ISBLANK(F99)),"Y","N"))))</f>
        <v>Y</v>
      </c>
      <c r="K99" s="45" t="str">
        <f>IF(AND(F99="Yes",ISBLANK(H99)),"Please enter your comments","")</f>
        <v/>
      </c>
      <c r="L99" s="15"/>
      <c r="M99" s="15"/>
      <c r="N99" s="15"/>
      <c r="O99" s="15"/>
      <c r="P99" s="15"/>
      <c r="Q99" s="15"/>
      <c r="R99" s="15"/>
      <c r="S99" s="15"/>
      <c r="T99" s="15"/>
      <c r="U99" s="15"/>
      <c r="V99" s="15"/>
      <c r="W99" s="15"/>
      <c r="X99" s="15"/>
      <c r="Y99" s="15"/>
      <c r="Z99" s="15"/>
    </row>
    <row r="100" ht="12.0" customHeight="1">
      <c r="A100" s="65">
        <v>9.0</v>
      </c>
      <c r="B100" s="86" t="s">
        <v>398</v>
      </c>
      <c r="C100" s="65">
        <v>1.0</v>
      </c>
      <c r="D100" s="45" t="s">
        <v>584</v>
      </c>
      <c r="E100" s="45" t="str">
        <f>IF(F34="Yes","Yes","No")</f>
        <v>No</v>
      </c>
      <c r="F100" s="45"/>
      <c r="G100" s="45" t="str">
        <f>IF(F100="Yes","User is logged out forcefully after certain active time.",IF(OR(F100="No",F100="NA"),"Recommended to logout user forcefully after a sufficient active period.",""))</f>
        <v/>
      </c>
      <c r="H100" s="64" t="s">
        <v>585</v>
      </c>
      <c r="I100" s="45"/>
      <c r="J100" s="45" t="str">
        <f>IF(E100="No","Y",IF(OR(OR(F34="No",F34="NA"),F100="Yes"),"Y","N"))</f>
        <v>Y</v>
      </c>
      <c r="K100" s="45" t="str">
        <f t="shared" ref="K100:K101" si="23">IF(AND(OR(F100="No",F100="NA"),ISBLANK(H100)),"Please enter your comments","")</f>
        <v/>
      </c>
      <c r="L100" s="15"/>
      <c r="M100" s="15"/>
      <c r="N100" s="15"/>
      <c r="O100" s="15"/>
      <c r="P100" s="15"/>
      <c r="Q100" s="15"/>
      <c r="R100" s="15"/>
      <c r="S100" s="15"/>
      <c r="T100" s="15"/>
      <c r="U100" s="15"/>
      <c r="V100" s="15"/>
      <c r="W100" s="15"/>
      <c r="X100" s="15"/>
      <c r="Y100" s="15"/>
      <c r="Z100" s="15"/>
    </row>
    <row r="101" ht="12.0" customHeight="1">
      <c r="A101" s="65">
        <v>10.0</v>
      </c>
      <c r="B101" s="86" t="s">
        <v>399</v>
      </c>
      <c r="C101" s="65">
        <v>1.0</v>
      </c>
      <c r="D101" s="45" t="s">
        <v>586</v>
      </c>
      <c r="E101" s="45" t="str">
        <f>IF(F4="Yes","No","Yes")</f>
        <v>Yes</v>
      </c>
      <c r="F101" s="45"/>
      <c r="G101" s="45" t="str">
        <f>IF(F101="Yes","The application logs all the attempts made with invalid session IDs.",IF(OR(F101="No",F101="NA"),"Recommended to log all the attempts made with invalid session IDs.",""))</f>
        <v/>
      </c>
      <c r="H101" s="55" t="s">
        <v>46</v>
      </c>
      <c r="I101" s="45"/>
      <c r="J101" s="45" t="str">
        <f>IF(E101="No","Y",IF(F101="Yes","Y","N"))</f>
        <v>N</v>
      </c>
      <c r="K101" s="45" t="str">
        <f t="shared" si="23"/>
        <v/>
      </c>
      <c r="L101" s="15"/>
      <c r="M101" s="15"/>
      <c r="N101" s="15"/>
      <c r="O101" s="15"/>
      <c r="P101" s="15"/>
      <c r="Q101" s="15"/>
      <c r="R101" s="15"/>
      <c r="S101" s="15"/>
      <c r="T101" s="15"/>
      <c r="U101" s="15"/>
      <c r="V101" s="15"/>
      <c r="W101" s="15"/>
      <c r="X101" s="15"/>
      <c r="Y101" s="15"/>
      <c r="Z101" s="15"/>
    </row>
    <row r="102" ht="12.0" customHeight="1">
      <c r="A102" s="85" t="s">
        <v>587</v>
      </c>
      <c r="B102" s="4"/>
      <c r="C102" s="4"/>
      <c r="D102" s="4"/>
      <c r="E102" s="4"/>
      <c r="F102" s="4"/>
      <c r="G102" s="4"/>
      <c r="H102" s="4"/>
      <c r="I102" s="4"/>
      <c r="J102" s="4"/>
      <c r="K102" s="11"/>
      <c r="L102" s="15"/>
      <c r="M102" s="15"/>
      <c r="N102" s="15"/>
      <c r="O102" s="15"/>
      <c r="P102" s="15"/>
      <c r="Q102" s="15"/>
      <c r="R102" s="15"/>
      <c r="S102" s="15"/>
      <c r="T102" s="15"/>
      <c r="U102" s="15"/>
      <c r="V102" s="15"/>
      <c r="W102" s="15"/>
      <c r="X102" s="15"/>
      <c r="Y102" s="15"/>
      <c r="Z102" s="15"/>
    </row>
    <row r="103" ht="12.0" customHeight="1">
      <c r="A103" s="65">
        <v>1.0</v>
      </c>
      <c r="B103" s="86" t="s">
        <v>401</v>
      </c>
      <c r="C103" s="65">
        <v>1.0</v>
      </c>
      <c r="D103" s="52" t="s">
        <v>588</v>
      </c>
      <c r="E103" s="45" t="s">
        <v>445</v>
      </c>
      <c r="F103" s="45"/>
      <c r="G103" s="45" t="str">
        <f>IF(F103="Yes","The application addresses specific exception instead of addressing generic exception.",IF(OR(F103="No",F103="NA"),"Recommended to address specific exception instead of addressing generic exception.",""))</f>
        <v/>
      </c>
      <c r="H103" s="64" t="s">
        <v>589</v>
      </c>
      <c r="I103" s="45"/>
      <c r="J103" s="45" t="str">
        <f t="shared" ref="J103:J107" si="24">IF(F103="Yes","Y","N")</f>
        <v>N</v>
      </c>
      <c r="K103" s="45" t="str">
        <f t="shared" ref="K103:K107" si="25">IF(AND(OR(F103="No",F103="NA"),ISBLANK(H103)),"Please enter your comments","")</f>
        <v/>
      </c>
      <c r="L103" s="15"/>
      <c r="M103" s="15"/>
      <c r="N103" s="15"/>
      <c r="O103" s="15"/>
      <c r="P103" s="15"/>
      <c r="Q103" s="15"/>
      <c r="R103" s="15"/>
      <c r="S103" s="15"/>
      <c r="T103" s="15"/>
      <c r="U103" s="15"/>
      <c r="V103" s="15"/>
      <c r="W103" s="15"/>
      <c r="X103" s="15"/>
      <c r="Y103" s="15"/>
      <c r="Z103" s="15"/>
    </row>
    <row r="104" ht="12.0" customHeight="1">
      <c r="A104" s="65">
        <v>2.0</v>
      </c>
      <c r="B104" s="86" t="s">
        <v>402</v>
      </c>
      <c r="C104" s="65">
        <v>1.0</v>
      </c>
      <c r="D104" s="52" t="s">
        <v>590</v>
      </c>
      <c r="E104" s="45" t="s">
        <v>445</v>
      </c>
      <c r="F104" s="45"/>
      <c r="G104" s="45" t="str">
        <f>IF(F104="Yes","Application does not have any empty try/catch/finally blocks.",IF(OR(F104="No",F104="NA"),"Recommended to remove all such empty try/catch/finally blocks.",""))</f>
        <v/>
      </c>
      <c r="H104" s="55" t="s">
        <v>46</v>
      </c>
      <c r="I104" s="45"/>
      <c r="J104" s="45" t="str">
        <f t="shared" si="24"/>
        <v>N</v>
      </c>
      <c r="K104" s="45" t="str">
        <f t="shared" si="25"/>
        <v/>
      </c>
      <c r="L104" s="15"/>
      <c r="M104" s="15"/>
      <c r="N104" s="15"/>
      <c r="O104" s="15"/>
      <c r="P104" s="15"/>
      <c r="Q104" s="15"/>
      <c r="R104" s="15"/>
      <c r="S104" s="15"/>
      <c r="T104" s="15"/>
      <c r="U104" s="15"/>
      <c r="V104" s="15"/>
      <c r="W104" s="15"/>
      <c r="X104" s="15"/>
      <c r="Y104" s="15"/>
      <c r="Z104" s="15"/>
    </row>
    <row r="105" ht="12.0" customHeight="1">
      <c r="A105" s="65">
        <v>3.0</v>
      </c>
      <c r="B105" s="86" t="s">
        <v>404</v>
      </c>
      <c r="C105" s="65">
        <v>1.0</v>
      </c>
      <c r="D105" s="52" t="s">
        <v>591</v>
      </c>
      <c r="E105" s="45" t="s">
        <v>445</v>
      </c>
      <c r="F105" s="45"/>
      <c r="G105" s="45" t="str">
        <f>IF(F105="Yes","The application checks the return value.",IF(OR(F105="No",F105="NA"),"Recommended to check the return values.",""))</f>
        <v/>
      </c>
      <c r="H105" s="64" t="s">
        <v>592</v>
      </c>
      <c r="I105" s="45"/>
      <c r="J105" s="45" t="str">
        <f t="shared" si="24"/>
        <v>N</v>
      </c>
      <c r="K105" s="45" t="str">
        <f t="shared" si="25"/>
        <v/>
      </c>
      <c r="L105" s="15"/>
      <c r="M105" s="15"/>
      <c r="N105" s="15"/>
      <c r="O105" s="15"/>
      <c r="P105" s="15"/>
      <c r="Q105" s="15"/>
      <c r="R105" s="15"/>
      <c r="S105" s="15"/>
      <c r="T105" s="15"/>
      <c r="U105" s="15"/>
      <c r="V105" s="15"/>
      <c r="W105" s="15"/>
      <c r="X105" s="15"/>
      <c r="Y105" s="15"/>
      <c r="Z105" s="15"/>
    </row>
    <row r="106" ht="12.0" customHeight="1">
      <c r="A106" s="65">
        <v>4.0</v>
      </c>
      <c r="B106" s="86" t="s">
        <v>405</v>
      </c>
      <c r="C106" s="65">
        <v>1.0</v>
      </c>
      <c r="D106" s="52" t="s">
        <v>593</v>
      </c>
      <c r="E106" s="45" t="s">
        <v>445</v>
      </c>
      <c r="F106" s="45"/>
      <c r="G106" s="45" t="str">
        <f>IF(F106="Yes","Need to know or actionable information is disclosed to user.",IF(OR(F106="No",F106="NA"),"Recommended to disclose  need to know or actionable information to user.",""))</f>
        <v/>
      </c>
      <c r="H106" s="64" t="s">
        <v>594</v>
      </c>
      <c r="I106" s="45"/>
      <c r="J106" s="45" t="str">
        <f t="shared" si="24"/>
        <v>N</v>
      </c>
      <c r="K106" s="45" t="str">
        <f t="shared" si="25"/>
        <v/>
      </c>
      <c r="L106" s="15"/>
      <c r="M106" s="15"/>
      <c r="N106" s="15"/>
      <c r="O106" s="15"/>
      <c r="P106" s="15"/>
      <c r="Q106" s="15"/>
      <c r="R106" s="15"/>
      <c r="S106" s="15"/>
      <c r="T106" s="15"/>
      <c r="U106" s="15"/>
      <c r="V106" s="15"/>
      <c r="W106" s="15"/>
      <c r="X106" s="15"/>
      <c r="Y106" s="15"/>
      <c r="Z106" s="15"/>
    </row>
    <row r="107" ht="12.0" customHeight="1">
      <c r="A107" s="65">
        <v>5.0</v>
      </c>
      <c r="B107" s="86" t="s">
        <v>407</v>
      </c>
      <c r="C107" s="65">
        <v>1.0</v>
      </c>
      <c r="D107" s="52" t="s">
        <v>595</v>
      </c>
      <c r="E107" s="45" t="s">
        <v>445</v>
      </c>
      <c r="F107" s="45"/>
      <c r="G107" s="45" t="str">
        <f>IF(F107="Yes","Error messages are sanitised.",IF(OR(F107="No",F107="NA"),"Recommended to configure the server with default error handler that returns an appropriately sanitised error message for all error paths",""))</f>
        <v/>
      </c>
      <c r="H107" s="64" t="s">
        <v>596</v>
      </c>
      <c r="I107" s="45"/>
      <c r="J107" s="45" t="str">
        <f t="shared" si="24"/>
        <v>N</v>
      </c>
      <c r="K107" s="45" t="str">
        <f t="shared" si="25"/>
        <v/>
      </c>
      <c r="L107" s="15"/>
      <c r="M107" s="15"/>
      <c r="N107" s="15"/>
      <c r="O107" s="15"/>
      <c r="P107" s="15"/>
      <c r="Q107" s="15"/>
      <c r="R107" s="15"/>
      <c r="S107" s="15"/>
      <c r="T107" s="15"/>
      <c r="U107" s="15"/>
      <c r="V107" s="15"/>
      <c r="W107" s="15"/>
      <c r="X107" s="15"/>
      <c r="Y107" s="15"/>
      <c r="Z107" s="15"/>
    </row>
    <row r="108" ht="12.0" customHeight="1">
      <c r="A108" s="65">
        <v>6.0</v>
      </c>
      <c r="B108" s="86" t="s">
        <v>408</v>
      </c>
      <c r="C108" s="65">
        <v>1.0</v>
      </c>
      <c r="D108" s="45" t="s">
        <v>597</v>
      </c>
      <c r="E108" s="45" t="s">
        <v>445</v>
      </c>
      <c r="F108" s="45"/>
      <c r="G108" s="45" t="str">
        <f>IF(F108="Yes","Recommended to have such failures handled.",IF(OR(F108="No",F108="NA"),"No internal information is exposed during failues.",""))</f>
        <v/>
      </c>
      <c r="H108" s="55" t="s">
        <v>46</v>
      </c>
      <c r="I108" s="45"/>
      <c r="J108" s="45" t="str">
        <f>IF(F108="Yes","N",IF(NOT(ISBLANK(F108)),"Y","N"))</f>
        <v>N</v>
      </c>
      <c r="K108" s="45" t="str">
        <f>IF(AND(F108="Yes",ISBLANK(H108)),"Please enter your comments","")</f>
        <v/>
      </c>
      <c r="L108" s="15"/>
      <c r="M108" s="15"/>
      <c r="N108" s="15"/>
      <c r="O108" s="15"/>
      <c r="P108" s="15"/>
      <c r="Q108" s="15"/>
      <c r="R108" s="15"/>
      <c r="S108" s="15"/>
      <c r="T108" s="15"/>
      <c r="U108" s="15"/>
      <c r="V108" s="15"/>
      <c r="W108" s="15"/>
      <c r="X108" s="15"/>
      <c r="Y108" s="15"/>
      <c r="Z108" s="15"/>
    </row>
    <row r="109" ht="12.0" customHeight="1">
      <c r="A109" s="65">
        <v>7.0</v>
      </c>
      <c r="B109" s="86" t="s">
        <v>411</v>
      </c>
      <c r="C109" s="65">
        <v>1.0</v>
      </c>
      <c r="D109" s="45" t="s">
        <v>598</v>
      </c>
      <c r="E109" s="45" t="s">
        <v>445</v>
      </c>
      <c r="F109" s="45"/>
      <c r="G109" s="45" t="str">
        <f>IF(F109="Yes","An error code book is constructed for unique error messages with error code for error logging.",IF(OR(F109="No",F109="NA"),"Recommended to construct an Error code book for unique error messages with error code for error logging.",""))</f>
        <v/>
      </c>
      <c r="H109" s="55" t="s">
        <v>46</v>
      </c>
      <c r="I109" s="45"/>
      <c r="J109" s="45" t="str">
        <f t="shared" ref="J109:J111" si="26">IF(F109="Yes","Y","N")</f>
        <v>N</v>
      </c>
      <c r="K109" s="45" t="str">
        <f t="shared" ref="K109:K112" si="27">IF(AND(OR(F109="No",F109="NA"),ISBLANK(H109)),"Please enter your comments","")</f>
        <v/>
      </c>
      <c r="L109" s="15"/>
      <c r="M109" s="15"/>
      <c r="N109" s="15"/>
      <c r="O109" s="15"/>
      <c r="P109" s="15"/>
      <c r="Q109" s="15"/>
      <c r="R109" s="15"/>
      <c r="S109" s="15"/>
      <c r="T109" s="15"/>
      <c r="U109" s="15"/>
      <c r="V109" s="15"/>
      <c r="W109" s="15"/>
      <c r="X109" s="15"/>
      <c r="Y109" s="15"/>
      <c r="Z109" s="15"/>
    </row>
    <row r="110" ht="12.0" customHeight="1">
      <c r="A110" s="65">
        <v>8.0</v>
      </c>
      <c r="B110" s="86" t="s">
        <v>412</v>
      </c>
      <c r="C110" s="65">
        <v>1.0</v>
      </c>
      <c r="D110" s="45" t="s">
        <v>599</v>
      </c>
      <c r="E110" s="45" t="s">
        <v>445</v>
      </c>
      <c r="F110" s="45"/>
      <c r="G110" s="45" t="str">
        <f>IF(F110="Yes","Centralised error and exception management strategy is deployed.",IF(OR(F110="No",F110="NA"),"Recommended to deploy a centralised error and exception management strategy.",""))</f>
        <v/>
      </c>
      <c r="H110" s="64" t="s">
        <v>600</v>
      </c>
      <c r="I110" s="45"/>
      <c r="J110" s="45" t="str">
        <f t="shared" si="26"/>
        <v>N</v>
      </c>
      <c r="K110" s="45" t="str">
        <f t="shared" si="27"/>
        <v/>
      </c>
      <c r="L110" s="15"/>
      <c r="M110" s="15"/>
      <c r="N110" s="15"/>
      <c r="O110" s="15"/>
      <c r="P110" s="15"/>
      <c r="Q110" s="15"/>
      <c r="R110" s="15"/>
      <c r="S110" s="15"/>
      <c r="T110" s="15"/>
      <c r="U110" s="15"/>
      <c r="V110" s="15"/>
      <c r="W110" s="15"/>
      <c r="X110" s="15"/>
      <c r="Y110" s="15"/>
      <c r="Z110" s="15"/>
    </row>
    <row r="111" ht="12.0" customHeight="1">
      <c r="A111" s="65">
        <v>9.0</v>
      </c>
      <c r="B111" s="86" t="s">
        <v>413</v>
      </c>
      <c r="C111" s="65">
        <v>1.0</v>
      </c>
      <c r="D111" s="52" t="s">
        <v>601</v>
      </c>
      <c r="E111" s="45" t="s">
        <v>445</v>
      </c>
      <c r="F111" s="45"/>
      <c r="G111" s="45" t="str">
        <f>IF(F111="Yes","In-case system crashes or critical function failure, changes are undone and system is restored to a secure state, all transactions are rolledback.",IF(OR(F111="No",F111="NA"),"Recommended that in-case system crashes or critical function failure, changes are undone and system is restored to a secure state, all transactions are rolledback.",""))</f>
        <v/>
      </c>
      <c r="H111" s="64" t="s">
        <v>602</v>
      </c>
      <c r="I111" s="45"/>
      <c r="J111" s="45" t="str">
        <f t="shared" si="26"/>
        <v>N</v>
      </c>
      <c r="K111" s="45" t="str">
        <f t="shared" si="27"/>
        <v/>
      </c>
      <c r="L111" s="15"/>
      <c r="M111" s="15"/>
      <c r="N111" s="15"/>
      <c r="O111" s="15"/>
      <c r="P111" s="15"/>
      <c r="Q111" s="15"/>
      <c r="R111" s="15"/>
      <c r="S111" s="15"/>
      <c r="T111" s="15"/>
      <c r="U111" s="15"/>
      <c r="V111" s="15"/>
      <c r="W111" s="15"/>
      <c r="X111" s="15"/>
      <c r="Y111" s="15"/>
      <c r="Z111" s="15"/>
    </row>
    <row r="112" ht="12.0" customHeight="1">
      <c r="A112" s="65">
        <v>10.0</v>
      </c>
      <c r="B112" s="86" t="s">
        <v>414</v>
      </c>
      <c r="C112" s="65">
        <v>1.0</v>
      </c>
      <c r="D112" s="45" t="s">
        <v>603</v>
      </c>
      <c r="E112" s="45" t="str">
        <f>IF(F34="Yes","Yes","No")</f>
        <v>No</v>
      </c>
      <c r="F112" s="45"/>
      <c r="G112" s="45" t="str">
        <f>IF(F112="Yes","Alarms are generated for sequential exceptions in critical transactions.",IF(OR(F112="No",F112="NA"),"Recommended to generate alarms for sequential exceptions in critical transactions.",""))</f>
        <v/>
      </c>
      <c r="H112" s="55" t="s">
        <v>46</v>
      </c>
      <c r="I112" s="45"/>
      <c r="J112" s="45" t="str">
        <f>IF(E112="No","Y",IF(OR(F34="No",F34="NA"),"Y",IF(F112="Yes","Y","N")))</f>
        <v>Y</v>
      </c>
      <c r="K112" s="45" t="str">
        <f t="shared" si="27"/>
        <v/>
      </c>
      <c r="L112" s="15"/>
      <c r="M112" s="15"/>
      <c r="N112" s="15"/>
      <c r="O112" s="15"/>
      <c r="P112" s="15"/>
      <c r="Q112" s="15"/>
      <c r="R112" s="15"/>
      <c r="S112" s="15"/>
      <c r="T112" s="15"/>
      <c r="U112" s="15"/>
      <c r="V112" s="15"/>
      <c r="W112" s="15"/>
      <c r="X112" s="15"/>
      <c r="Y112" s="15"/>
      <c r="Z112" s="15"/>
    </row>
    <row r="113" ht="12.0" customHeight="1">
      <c r="A113" s="85" t="s">
        <v>604</v>
      </c>
      <c r="B113" s="4"/>
      <c r="C113" s="4"/>
      <c r="D113" s="4"/>
      <c r="E113" s="4"/>
      <c r="F113" s="4"/>
      <c r="G113" s="4"/>
      <c r="H113" s="4"/>
      <c r="I113" s="4"/>
      <c r="J113" s="4"/>
      <c r="K113" s="11"/>
      <c r="L113" s="15"/>
      <c r="M113" s="15"/>
      <c r="N113" s="15"/>
      <c r="O113" s="15"/>
      <c r="P113" s="15"/>
      <c r="Q113" s="15"/>
      <c r="R113" s="15"/>
      <c r="S113" s="15"/>
      <c r="T113" s="15"/>
      <c r="U113" s="15"/>
      <c r="V113" s="15"/>
      <c r="W113" s="15"/>
      <c r="X113" s="15"/>
      <c r="Y113" s="15"/>
      <c r="Z113" s="15"/>
    </row>
    <row r="114" ht="12.0" customHeight="1">
      <c r="A114" s="65">
        <v>1.0</v>
      </c>
      <c r="B114" s="88" t="s">
        <v>418</v>
      </c>
      <c r="C114" s="65">
        <v>1.0</v>
      </c>
      <c r="D114" s="52" t="s">
        <v>605</v>
      </c>
      <c r="E114" s="45" t="s">
        <v>445</v>
      </c>
      <c r="F114" s="45"/>
      <c r="G114" s="45" t="str">
        <f>IF(OR(F114="No",F114="NA"),"The application does not collect any sensitive end user data.","")</f>
        <v/>
      </c>
      <c r="H114" s="64" t="s">
        <v>606</v>
      </c>
      <c r="I114" s="45"/>
      <c r="J114" s="45" t="str">
        <f t="shared" ref="J114:J115" si="28">IF(F114="Yes","N",IF(NOT(ISBLANK(F114)),"Y","N"))</f>
        <v>N</v>
      </c>
      <c r="K114" s="45"/>
      <c r="L114" s="15"/>
      <c r="M114" s="15"/>
      <c r="N114" s="15"/>
      <c r="O114" s="15"/>
      <c r="P114" s="15"/>
      <c r="Q114" s="15"/>
      <c r="R114" s="15"/>
      <c r="S114" s="15"/>
      <c r="T114" s="15"/>
      <c r="U114" s="15"/>
      <c r="V114" s="15"/>
      <c r="W114" s="15"/>
      <c r="X114" s="15"/>
      <c r="Y114" s="15"/>
      <c r="Z114" s="15"/>
    </row>
    <row r="115" ht="12.0" customHeight="1">
      <c r="A115" s="65"/>
      <c r="B115" s="45"/>
      <c r="C115" s="65">
        <v>1.1</v>
      </c>
      <c r="D115" s="52" t="s">
        <v>607</v>
      </c>
      <c r="E115" s="45" t="str">
        <f>IF(F114="Yes","Yes","No")</f>
        <v>No</v>
      </c>
      <c r="F115" s="45"/>
      <c r="G115" s="45" t="str">
        <f>IF(OR(F115="No",F115="NA"),"The application collects sensitive end user data , but does not store it.","")</f>
        <v/>
      </c>
      <c r="H115" s="64" t="s">
        <v>608</v>
      </c>
      <c r="I115" s="45"/>
      <c r="J115" s="45" t="str">
        <f t="shared" si="28"/>
        <v>N</v>
      </c>
      <c r="K115" s="45"/>
      <c r="L115" s="15"/>
      <c r="M115" s="15"/>
      <c r="N115" s="15"/>
      <c r="O115" s="15"/>
      <c r="P115" s="15"/>
      <c r="Q115" s="15"/>
      <c r="R115" s="15"/>
      <c r="S115" s="15"/>
      <c r="T115" s="15"/>
      <c r="U115" s="15"/>
      <c r="V115" s="15"/>
      <c r="W115" s="15"/>
      <c r="X115" s="15"/>
      <c r="Y115" s="15"/>
      <c r="Z115" s="15"/>
    </row>
    <row r="116" ht="12.0" customHeight="1">
      <c r="A116" s="65"/>
      <c r="B116" s="45"/>
      <c r="C116" s="65" t="s">
        <v>565</v>
      </c>
      <c r="D116" s="52" t="s">
        <v>609</v>
      </c>
      <c r="E116" s="45" t="str">
        <f>IF(AND(F114="Yes",F115="Yes"),"Yes","No")</f>
        <v>No</v>
      </c>
      <c r="F116" s="45"/>
      <c r="G116" s="45" t="str">
        <f>IF(F116="Yes","The application stores the end user data encrypted.",IF(OR(F116="No",F116="NA"),"Recommended to store the sensitive end user data encrypted.",""))</f>
        <v/>
      </c>
      <c r="H116" s="64" t="s">
        <v>610</v>
      </c>
      <c r="I116" s="45"/>
      <c r="J116" s="45" t="str">
        <f>IF(F116="Yes","Y","N")</f>
        <v>N</v>
      </c>
      <c r="K116" s="45" t="str">
        <f t="shared" ref="K116:K124" si="29">IF(AND(OR(F116="No",F116="NA"),ISBLANK(H116)),"Please enter your comments","")</f>
        <v/>
      </c>
      <c r="L116" s="15"/>
      <c r="M116" s="15"/>
      <c r="N116" s="15"/>
      <c r="O116" s="15"/>
      <c r="P116" s="15"/>
      <c r="Q116" s="15"/>
      <c r="R116" s="15"/>
      <c r="S116" s="15"/>
      <c r="T116" s="15"/>
      <c r="U116" s="15"/>
      <c r="V116" s="15"/>
      <c r="W116" s="15"/>
      <c r="X116" s="15"/>
      <c r="Y116" s="15"/>
      <c r="Z116" s="15"/>
    </row>
    <row r="117" ht="12.0" customHeight="1">
      <c r="A117" s="65">
        <v>2.0</v>
      </c>
      <c r="B117" s="43" t="s">
        <v>611</v>
      </c>
      <c r="C117" s="65">
        <v>1.0</v>
      </c>
      <c r="D117" s="52" t="s">
        <v>612</v>
      </c>
      <c r="E117" s="45" t="str">
        <f>IF(AND(F114="Yes",F115="Yes"),"Yes","No")</f>
        <v>No</v>
      </c>
      <c r="F117" s="45"/>
      <c r="G117" s="45" t="str">
        <f>IF(F117="Yes","Explicit consent taken from the users for collection, retention, processing, storage &amp; sharing of data.",IF(OR(F117="No",F117="NA"),"Recommended to take explicit consent  from the users for collection, retention, processing, storage &amp; sharing of data.",""))</f>
        <v/>
      </c>
      <c r="H117" s="55" t="s">
        <v>46</v>
      </c>
      <c r="I117" s="45"/>
      <c r="J117" s="45" t="str">
        <f>IF(E117="No","Y",IF(F117="Yes","Y",J114))</f>
        <v>Y</v>
      </c>
      <c r="K117" s="45" t="str">
        <f t="shared" si="29"/>
        <v/>
      </c>
      <c r="L117" s="15"/>
      <c r="M117" s="15"/>
      <c r="N117" s="15"/>
      <c r="O117" s="15"/>
      <c r="P117" s="15"/>
      <c r="Q117" s="15"/>
      <c r="R117" s="15"/>
      <c r="S117" s="15"/>
      <c r="T117" s="15"/>
      <c r="U117" s="15"/>
      <c r="V117" s="15"/>
      <c r="W117" s="15"/>
      <c r="X117" s="15"/>
      <c r="Y117" s="15"/>
      <c r="Z117" s="15"/>
    </row>
    <row r="118" ht="12.0" customHeight="1">
      <c r="A118" s="65">
        <v>3.0</v>
      </c>
      <c r="B118" s="88" t="s">
        <v>420</v>
      </c>
      <c r="C118" s="65">
        <v>1.0</v>
      </c>
      <c r="D118" s="52" t="s">
        <v>613</v>
      </c>
      <c r="E118" s="45" t="s">
        <v>445</v>
      </c>
      <c r="F118" s="45"/>
      <c r="G118" s="45" t="str">
        <f>IF(F118="Yes","The application uses POST methods for requests containing data.",IF(OR(F118="No",F118="NA"),"Recommended to restrict GET and use POST method only for requests containing data.",""))</f>
        <v/>
      </c>
      <c r="H118" s="64" t="s">
        <v>614</v>
      </c>
      <c r="I118" s="45"/>
      <c r="J118" s="45" t="str">
        <f>IF(F118="Yes","Y","N")</f>
        <v>N</v>
      </c>
      <c r="K118" s="45" t="str">
        <f t="shared" si="29"/>
        <v/>
      </c>
      <c r="L118" s="15"/>
      <c r="M118" s="15"/>
      <c r="N118" s="15"/>
      <c r="O118" s="15"/>
      <c r="P118" s="15"/>
      <c r="Q118" s="15"/>
      <c r="R118" s="15"/>
      <c r="S118" s="15"/>
      <c r="T118" s="15"/>
      <c r="U118" s="15"/>
      <c r="V118" s="15"/>
      <c r="W118" s="15"/>
      <c r="X118" s="15"/>
      <c r="Y118" s="15"/>
      <c r="Z118" s="15"/>
    </row>
    <row r="119" ht="12.0" customHeight="1">
      <c r="A119" s="65">
        <v>4.0</v>
      </c>
      <c r="B119" s="88" t="s">
        <v>421</v>
      </c>
      <c r="C119" s="65">
        <v>1.0</v>
      </c>
      <c r="D119" s="52" t="s">
        <v>615</v>
      </c>
      <c r="E119" s="45" t="s">
        <v>445</v>
      </c>
      <c r="F119" s="45"/>
      <c r="G119" s="45" t="str">
        <f>IF(F119="Yes","The application ensures client side caching is disabled for sensitive information (including autocomplete feature in web application forms). ",IF(OR(F119="No",F119="NA"),"Recommended to disable client side caching for sensitive information.",""))</f>
        <v/>
      </c>
      <c r="H119" s="55" t="s">
        <v>46</v>
      </c>
      <c r="I119" s="45"/>
      <c r="J119" s="45" t="str">
        <f>IF(OR(F119="Yes",F119="NA"),"Y","N")</f>
        <v>N</v>
      </c>
      <c r="K119" s="45" t="str">
        <f t="shared" si="29"/>
        <v/>
      </c>
      <c r="L119" s="15"/>
      <c r="M119" s="15"/>
      <c r="N119" s="15"/>
      <c r="O119" s="15"/>
      <c r="P119" s="15"/>
      <c r="Q119" s="15"/>
      <c r="R119" s="15"/>
      <c r="S119" s="15"/>
      <c r="T119" s="15"/>
      <c r="U119" s="15"/>
      <c r="V119" s="15"/>
      <c r="W119" s="15"/>
      <c r="X119" s="15"/>
      <c r="Y119" s="15"/>
      <c r="Z119" s="15"/>
    </row>
    <row r="120" ht="12.0" customHeight="1">
      <c r="A120" s="65">
        <v>5.0</v>
      </c>
      <c r="B120" s="89" t="s">
        <v>422</v>
      </c>
      <c r="C120" s="65">
        <v>1.0</v>
      </c>
      <c r="D120" s="52" t="s">
        <v>616</v>
      </c>
      <c r="E120" s="45" t="s">
        <v>445</v>
      </c>
      <c r="F120" s="45"/>
      <c r="G120" s="45" t="str">
        <f>IF(F120="Yes","VA &amp; PT is done regularly for the systems, networks and applications.",IF(OR(F120="No",F120="NA"),"Recommended that VA &amp; PT is done regularly for the systems, networks and applications.",""))</f>
        <v/>
      </c>
      <c r="H120" s="55" t="s">
        <v>46</v>
      </c>
      <c r="I120" s="45"/>
      <c r="J120" s="45" t="str">
        <f t="shared" ref="J120:J124" si="30">IF(F120="Yes","Y","N")</f>
        <v>N</v>
      </c>
      <c r="K120" s="45" t="str">
        <f t="shared" si="29"/>
        <v/>
      </c>
      <c r="L120" s="15"/>
      <c r="M120" s="15"/>
      <c r="N120" s="15"/>
      <c r="O120" s="15"/>
      <c r="P120" s="15"/>
      <c r="Q120" s="15"/>
      <c r="R120" s="15"/>
      <c r="S120" s="15"/>
      <c r="T120" s="15"/>
      <c r="U120" s="15"/>
      <c r="V120" s="15"/>
      <c r="W120" s="15"/>
      <c r="X120" s="15"/>
      <c r="Y120" s="15"/>
      <c r="Z120" s="15"/>
    </row>
    <row r="121" ht="12.0" customHeight="1">
      <c r="A121" s="65">
        <v>6.0</v>
      </c>
      <c r="B121" s="88" t="s">
        <v>423</v>
      </c>
      <c r="C121" s="65">
        <v>1.0</v>
      </c>
      <c r="D121" s="52" t="s">
        <v>617</v>
      </c>
      <c r="E121" s="45" t="s">
        <v>445</v>
      </c>
      <c r="F121" s="45"/>
      <c r="G121" s="45" t="str">
        <f>IF(F121="Yes","The application securely exports data in reports, print records, receipts, invoices, etc.",IF(OR(F121="No",F121="NA"),"Recommended to implement necessary Data Security controls while exporting the data in events like generating reports, printing any page/records, generating any receipts or invoices etc",""))</f>
        <v/>
      </c>
      <c r="H121" s="64" t="s">
        <v>618</v>
      </c>
      <c r="I121" s="45"/>
      <c r="J121" s="45" t="str">
        <f t="shared" si="30"/>
        <v>N</v>
      </c>
      <c r="K121" s="45" t="str">
        <f t="shared" si="29"/>
        <v/>
      </c>
      <c r="L121" s="15"/>
      <c r="M121" s="15"/>
      <c r="N121" s="15"/>
      <c r="O121" s="15"/>
      <c r="P121" s="15"/>
      <c r="Q121" s="15"/>
      <c r="R121" s="15"/>
      <c r="S121" s="15"/>
      <c r="T121" s="15"/>
      <c r="U121" s="15"/>
      <c r="V121" s="15"/>
      <c r="W121" s="15"/>
      <c r="X121" s="15"/>
      <c r="Y121" s="15"/>
      <c r="Z121" s="15"/>
    </row>
    <row r="122" ht="12.0" customHeight="1">
      <c r="A122" s="65">
        <v>7.0</v>
      </c>
      <c r="B122" s="88" t="s">
        <v>425</v>
      </c>
      <c r="C122" s="65">
        <v>1.0</v>
      </c>
      <c r="D122" s="52" t="s">
        <v>619</v>
      </c>
      <c r="E122" s="45" t="s">
        <v>445</v>
      </c>
      <c r="F122" s="45"/>
      <c r="G122" s="45" t="str">
        <f>IF(F122="Yes","The application uses Strong masking or tokenisation mechanisms.",IF(OR(F122="No",F122="NA"),"Recommended to use strong masking/tokenisation techniques.",""))</f>
        <v/>
      </c>
      <c r="H122" s="55" t="s">
        <v>46</v>
      </c>
      <c r="I122" s="45"/>
      <c r="J122" s="45" t="str">
        <f t="shared" si="30"/>
        <v>N</v>
      </c>
      <c r="K122" s="45" t="str">
        <f t="shared" si="29"/>
        <v/>
      </c>
      <c r="L122" s="15"/>
      <c r="M122" s="15"/>
      <c r="N122" s="15"/>
      <c r="O122" s="15"/>
      <c r="P122" s="15"/>
      <c r="Q122" s="15"/>
      <c r="R122" s="15"/>
      <c r="S122" s="15"/>
      <c r="T122" s="15"/>
      <c r="U122" s="15"/>
      <c r="V122" s="15"/>
      <c r="W122" s="15"/>
      <c r="X122" s="15"/>
      <c r="Y122" s="15"/>
      <c r="Z122" s="15"/>
    </row>
    <row r="123" ht="12.0" customHeight="1">
      <c r="A123" s="65">
        <v>8.0</v>
      </c>
      <c r="B123" s="88" t="s">
        <v>426</v>
      </c>
      <c r="C123" s="65">
        <v>1.0</v>
      </c>
      <c r="D123" s="52" t="s">
        <v>620</v>
      </c>
      <c r="E123" s="45" t="s">
        <v>445</v>
      </c>
      <c r="F123" s="45"/>
      <c r="G123" s="45" t="str">
        <f>IF(F123="Yes","Access control lists are created  to ensure the right level of data access for creating, reading, altering or deleting.",IF(OR(F123="No",F123="NA"),"Recommended to create Access control lists to ensure the right level of data access for creating, reading, altering or deleting.",""))</f>
        <v/>
      </c>
      <c r="H123" s="64" t="s">
        <v>621</v>
      </c>
      <c r="I123" s="45"/>
      <c r="J123" s="45" t="str">
        <f t="shared" si="30"/>
        <v>N</v>
      </c>
      <c r="K123" s="45" t="str">
        <f t="shared" si="29"/>
        <v/>
      </c>
      <c r="L123" s="15"/>
      <c r="M123" s="15"/>
      <c r="N123" s="15"/>
      <c r="O123" s="15"/>
      <c r="P123" s="15"/>
      <c r="Q123" s="15"/>
      <c r="R123" s="15"/>
      <c r="S123" s="15"/>
      <c r="T123" s="15"/>
      <c r="U123" s="15"/>
      <c r="V123" s="15"/>
      <c r="W123" s="15"/>
      <c r="X123" s="15"/>
      <c r="Y123" s="15"/>
      <c r="Z123" s="15"/>
    </row>
    <row r="124" ht="12.0" customHeight="1">
      <c r="A124" s="65">
        <v>9.0</v>
      </c>
      <c r="B124" s="88" t="s">
        <v>427</v>
      </c>
      <c r="C124" s="65">
        <v>1.0</v>
      </c>
      <c r="D124" s="52" t="s">
        <v>622</v>
      </c>
      <c r="E124" s="45" t="s">
        <v>445</v>
      </c>
      <c r="F124" s="45"/>
      <c r="G124" s="45" t="str">
        <f>IF(F124="Yes","OS specific mechanisms are used for key management.",IF(OR(F124="No",F124="NA"),"Recommended to use OS specific mechanisms (like DPAPI for windows and KeyChain for MAC) for key management.",""))</f>
        <v/>
      </c>
      <c r="H124" s="55" t="s">
        <v>46</v>
      </c>
      <c r="I124" s="45"/>
      <c r="J124" s="45" t="str">
        <f t="shared" si="30"/>
        <v>N</v>
      </c>
      <c r="K124" s="45" t="str">
        <f t="shared" si="29"/>
        <v/>
      </c>
      <c r="L124" s="15"/>
      <c r="M124" s="15"/>
      <c r="N124" s="15"/>
      <c r="O124" s="15"/>
      <c r="P124" s="15"/>
      <c r="Q124" s="15"/>
      <c r="R124" s="15"/>
      <c r="S124" s="15"/>
      <c r="T124" s="15"/>
      <c r="U124" s="15"/>
      <c r="V124" s="15"/>
      <c r="W124" s="15"/>
      <c r="X124" s="15"/>
      <c r="Y124" s="15"/>
      <c r="Z124" s="15"/>
    </row>
    <row r="125" ht="12.0" customHeight="1">
      <c r="A125" s="85" t="s">
        <v>623</v>
      </c>
      <c r="B125" s="4"/>
      <c r="C125" s="4"/>
      <c r="D125" s="4"/>
      <c r="E125" s="4"/>
      <c r="F125" s="4"/>
      <c r="G125" s="4"/>
      <c r="H125" s="4"/>
      <c r="I125" s="4"/>
      <c r="J125" s="4"/>
      <c r="K125" s="11"/>
      <c r="L125" s="15"/>
      <c r="M125" s="15"/>
      <c r="N125" s="15"/>
      <c r="O125" s="15"/>
      <c r="P125" s="15"/>
      <c r="Q125" s="15"/>
      <c r="R125" s="15"/>
      <c r="S125" s="15"/>
      <c r="T125" s="15"/>
      <c r="U125" s="15"/>
      <c r="V125" s="15"/>
      <c r="W125" s="15"/>
      <c r="X125" s="15"/>
      <c r="Y125" s="15"/>
      <c r="Z125" s="15"/>
    </row>
    <row r="126" ht="12.0" customHeight="1">
      <c r="A126" s="39">
        <v>1.0</v>
      </c>
      <c r="B126" s="86" t="s">
        <v>429</v>
      </c>
      <c r="C126" s="65">
        <v>1.0</v>
      </c>
      <c r="D126" s="45" t="s">
        <v>624</v>
      </c>
      <c r="E126" s="45" t="s">
        <v>445</v>
      </c>
      <c r="F126" s="45"/>
      <c r="G126" s="45" t="str">
        <f>IF(F126="Yes","The keys used are strong and stored in a secure location.",IF(OR(F126="No",F126="NA"),"Recommended to use strong keys and store them in a secure location.",""))</f>
        <v/>
      </c>
      <c r="H126" s="64" t="s">
        <v>625</v>
      </c>
      <c r="I126" s="45"/>
      <c r="J126" s="45" t="str">
        <f t="shared" ref="J126:J127" si="31">IF(F126="Yes","Y","N")</f>
        <v>N</v>
      </c>
      <c r="K126" s="45" t="str">
        <f t="shared" ref="K126:K131" si="32">IF(AND(OR(F126="No",F126="NA"),ISBLANK(H126)),"Please enter your comments","")</f>
        <v/>
      </c>
      <c r="L126" s="15"/>
      <c r="M126" s="15"/>
      <c r="N126" s="15"/>
      <c r="O126" s="15"/>
      <c r="P126" s="15"/>
      <c r="Q126" s="15"/>
      <c r="R126" s="15"/>
      <c r="S126" s="15"/>
      <c r="T126" s="15"/>
      <c r="U126" s="15"/>
      <c r="V126" s="15"/>
      <c r="W126" s="15"/>
      <c r="X126" s="15"/>
      <c r="Y126" s="15"/>
      <c r="Z126" s="15"/>
    </row>
    <row r="127" ht="12.0" customHeight="1">
      <c r="A127" s="39">
        <v>2.0</v>
      </c>
      <c r="B127" s="86" t="s">
        <v>431</v>
      </c>
      <c r="C127" s="65">
        <v>1.0</v>
      </c>
      <c r="D127" s="45" t="s">
        <v>626</v>
      </c>
      <c r="E127" s="45" t="s">
        <v>445</v>
      </c>
      <c r="F127" s="45"/>
      <c r="G127" s="45" t="str">
        <f>IF(F127="Yes","The application uses fully qualified domain names for certificates.",IF(OR(F127="No",F127="NA"),"Recommended to use fully qualified domain names for certificates.",""))</f>
        <v/>
      </c>
      <c r="H127" s="45"/>
      <c r="I127" s="45"/>
      <c r="J127" s="45" t="str">
        <f t="shared" si="31"/>
        <v>N</v>
      </c>
      <c r="K127" s="45" t="str">
        <f t="shared" si="32"/>
        <v/>
      </c>
      <c r="L127" s="15"/>
      <c r="M127" s="15"/>
      <c r="N127" s="15"/>
      <c r="O127" s="15"/>
      <c r="P127" s="15"/>
      <c r="Q127" s="15"/>
      <c r="R127" s="15"/>
      <c r="S127" s="15"/>
      <c r="T127" s="15"/>
      <c r="U127" s="15"/>
      <c r="V127" s="15"/>
      <c r="W127" s="15"/>
      <c r="X127" s="15"/>
      <c r="Y127" s="15"/>
      <c r="Z127" s="15"/>
    </row>
    <row r="128" ht="12.0" customHeight="1">
      <c r="A128" s="39">
        <v>3.0</v>
      </c>
      <c r="B128" s="86" t="s">
        <v>432</v>
      </c>
      <c r="C128" s="65">
        <v>1.0</v>
      </c>
      <c r="D128" s="45" t="s">
        <v>627</v>
      </c>
      <c r="E128" s="45" t="s">
        <v>445</v>
      </c>
      <c r="F128" s="45"/>
      <c r="G128" s="45" t="str">
        <f>IF(F128="No","The application does not use cookies","")</f>
        <v/>
      </c>
      <c r="H128" s="64" t="s">
        <v>628</v>
      </c>
      <c r="I128" s="45"/>
      <c r="J128" s="45" t="str">
        <f>IF(F128="No","Y","N")</f>
        <v>N</v>
      </c>
      <c r="K128" s="45" t="str">
        <f t="shared" si="32"/>
        <v/>
      </c>
      <c r="L128" s="15"/>
      <c r="M128" s="15"/>
      <c r="N128" s="15"/>
      <c r="O128" s="15"/>
      <c r="P128" s="15"/>
      <c r="Q128" s="15"/>
      <c r="R128" s="15"/>
      <c r="S128" s="15"/>
      <c r="T128" s="15"/>
      <c r="U128" s="15"/>
      <c r="V128" s="15"/>
      <c r="W128" s="15"/>
      <c r="X128" s="15"/>
      <c r="Y128" s="15"/>
      <c r="Z128" s="15"/>
    </row>
    <row r="129" ht="12.0" customHeight="1">
      <c r="A129" s="39"/>
      <c r="B129" s="86"/>
      <c r="C129" s="65">
        <v>1.1</v>
      </c>
      <c r="D129" s="45" t="s">
        <v>629</v>
      </c>
      <c r="E129" s="45" t="str">
        <f>IF(F128="Yes","Yes","No")</f>
        <v>No</v>
      </c>
      <c r="F129" s="45"/>
      <c r="G129" s="45" t="str">
        <f>IF(F129="Yes","The application uses secure cookie flag.",IF(OR(F129="No",F129="NA"),"Recommended to use secure cookie flag.",""))</f>
        <v/>
      </c>
      <c r="H129" s="45"/>
      <c r="I129" s="45"/>
      <c r="J129" s="45" t="str">
        <f t="shared" ref="J129:J131" si="33">IF(F129="Yes","Y","N")</f>
        <v>N</v>
      </c>
      <c r="K129" s="45" t="str">
        <f t="shared" si="32"/>
        <v/>
      </c>
      <c r="L129" s="15"/>
      <c r="M129" s="15"/>
      <c r="N129" s="15"/>
      <c r="O129" s="15"/>
      <c r="P129" s="15"/>
      <c r="Q129" s="15"/>
      <c r="R129" s="15"/>
      <c r="S129" s="15"/>
      <c r="T129" s="15"/>
      <c r="U129" s="15"/>
      <c r="V129" s="15"/>
      <c r="W129" s="15"/>
      <c r="X129" s="15"/>
      <c r="Y129" s="15"/>
      <c r="Z129" s="15"/>
    </row>
    <row r="130" ht="12.0" customHeight="1">
      <c r="A130" s="39">
        <v>4.0</v>
      </c>
      <c r="B130" s="86" t="s">
        <v>433</v>
      </c>
      <c r="C130" s="65">
        <v>1.0</v>
      </c>
      <c r="D130" s="45" t="s">
        <v>630</v>
      </c>
      <c r="E130" s="45" t="s">
        <v>445</v>
      </c>
      <c r="F130" s="45"/>
      <c r="G130" s="45" t="str">
        <f>IF(F130="Yes","No sensitive data is included in the url.",IF(OR(F130="No",F130="NA"),"Recommended to keep Sensitive Data Out of the URL.",""))</f>
        <v/>
      </c>
      <c r="H130" s="64" t="s">
        <v>631</v>
      </c>
      <c r="I130" s="45"/>
      <c r="J130" s="45" t="str">
        <f t="shared" si="33"/>
        <v>N</v>
      </c>
      <c r="K130" s="45" t="str">
        <f t="shared" si="32"/>
        <v/>
      </c>
      <c r="L130" s="15"/>
      <c r="M130" s="15"/>
      <c r="N130" s="15"/>
      <c r="O130" s="15"/>
      <c r="P130" s="15"/>
      <c r="Q130" s="15"/>
      <c r="R130" s="15"/>
      <c r="S130" s="15"/>
      <c r="T130" s="15"/>
      <c r="U130" s="15"/>
      <c r="V130" s="15"/>
      <c r="W130" s="15"/>
      <c r="X130" s="15"/>
      <c r="Y130" s="15"/>
      <c r="Z130" s="15"/>
    </row>
    <row r="131" ht="12.0" customHeight="1">
      <c r="A131" s="39">
        <v>5.0</v>
      </c>
      <c r="B131" s="86" t="s">
        <v>435</v>
      </c>
      <c r="C131" s="65">
        <v>1.0</v>
      </c>
      <c r="D131" s="45" t="s">
        <v>632</v>
      </c>
      <c r="E131" s="45" t="s">
        <v>445</v>
      </c>
      <c r="F131" s="45"/>
      <c r="G131" s="45" t="str">
        <f>IF(F131="Yes","The application uses certificate supporting required domain names.",IF(OR(F131="No",F131="NA"),"Recommended to use certificate supporting required domain names.",""))</f>
        <v/>
      </c>
      <c r="H131" s="45"/>
      <c r="I131" s="45"/>
      <c r="J131" s="45" t="str">
        <f t="shared" si="33"/>
        <v>N</v>
      </c>
      <c r="K131" s="45" t="str">
        <f t="shared" si="32"/>
        <v/>
      </c>
      <c r="L131" s="15"/>
      <c r="M131" s="15"/>
      <c r="N131" s="15"/>
      <c r="O131" s="15"/>
      <c r="P131" s="15"/>
      <c r="Q131" s="15"/>
      <c r="R131" s="15"/>
      <c r="S131" s="15"/>
      <c r="T131" s="15"/>
      <c r="U131" s="15"/>
      <c r="V131" s="15"/>
      <c r="W131" s="15"/>
      <c r="X131" s="15"/>
      <c r="Y131" s="15"/>
      <c r="Z131" s="15"/>
    </row>
    <row r="132" ht="12.0" customHeight="1">
      <c r="A132" s="39">
        <v>6.0</v>
      </c>
      <c r="B132" s="86" t="s">
        <v>436</v>
      </c>
      <c r="C132" s="65">
        <v>1.0</v>
      </c>
      <c r="D132" s="45" t="s">
        <v>633</v>
      </c>
      <c r="E132" s="45" t="s">
        <v>445</v>
      </c>
      <c r="F132" s="45"/>
      <c r="G132" s="45" t="str">
        <f>IF(F132="Yes","Recommended not to use any wildcard certificates.",IF(OR(F132="No",F132="NA"),"The application does not use any wildcard certificates.",""))</f>
        <v/>
      </c>
      <c r="H132" s="45"/>
      <c r="I132" s="45"/>
      <c r="J132" s="45" t="str">
        <f>IF(F132="Yes","N",IF(NOT(ISBLANK(F132)),"Y","N"))</f>
        <v>N</v>
      </c>
      <c r="K132" s="45" t="str">
        <f t="shared" ref="K132:K133" si="34">IF(AND(F132="Yes",ISBLANK(H132)),"Please enter your comments","")</f>
        <v/>
      </c>
      <c r="L132" s="15"/>
      <c r="M132" s="15"/>
      <c r="N132" s="15"/>
      <c r="O132" s="15"/>
      <c r="P132" s="15"/>
      <c r="Q132" s="15"/>
      <c r="R132" s="15"/>
      <c r="S132" s="15"/>
      <c r="T132" s="15"/>
      <c r="U132" s="15"/>
      <c r="V132" s="15"/>
      <c r="W132" s="15"/>
      <c r="X132" s="15"/>
      <c r="Y132" s="15"/>
      <c r="Z132" s="15"/>
    </row>
    <row r="133" ht="12.0" customHeight="1">
      <c r="A133" s="39">
        <v>7.0</v>
      </c>
      <c r="B133" s="86" t="s">
        <v>437</v>
      </c>
      <c r="C133" s="65">
        <v>1.0</v>
      </c>
      <c r="D133" s="45" t="s">
        <v>634</v>
      </c>
      <c r="E133" s="45" t="s">
        <v>445</v>
      </c>
      <c r="F133" s="45"/>
      <c r="G133" s="45" t="str">
        <f>IF(OR(F133="No",F133="NA"),"The application does not have any non TLS pages.","")</f>
        <v/>
      </c>
      <c r="H133" s="45"/>
      <c r="I133" s="45"/>
      <c r="J133" s="45" t="str">
        <f>IF(F133="No","Y","N")</f>
        <v>N</v>
      </c>
      <c r="K133" s="45" t="str">
        <f t="shared" si="34"/>
        <v/>
      </c>
      <c r="L133" s="15"/>
      <c r="M133" s="15"/>
      <c r="N133" s="15"/>
      <c r="O133" s="15"/>
      <c r="P133" s="15"/>
      <c r="Q133" s="15"/>
      <c r="R133" s="15"/>
      <c r="S133" s="15"/>
      <c r="T133" s="15"/>
      <c r="U133" s="15"/>
      <c r="V133" s="15"/>
      <c r="W133" s="15"/>
      <c r="X133" s="15"/>
      <c r="Y133" s="15"/>
      <c r="Z133" s="15"/>
    </row>
    <row r="134" ht="12.0" customHeight="1">
      <c r="A134" s="39"/>
      <c r="B134" s="83"/>
      <c r="C134" s="65">
        <v>1.1</v>
      </c>
      <c r="D134" s="45" t="s">
        <v>635</v>
      </c>
      <c r="E134" s="45" t="str">
        <f>IF(F133="Yes","Yes","No")</f>
        <v>No</v>
      </c>
      <c r="F134" s="45"/>
      <c r="G134" s="45" t="str">
        <f>IF(F134="Yes","The application does not provide any secure content for non-TLS pages.",IF(OR(F134="No",F134="NA"),"Recommended not to provide non-TLS pages any secured content.",""))</f>
        <v/>
      </c>
      <c r="H134" s="55" t="s">
        <v>46</v>
      </c>
      <c r="I134" s="45"/>
      <c r="J134" s="45" t="str">
        <f t="shared" ref="J134:J137" si="35">IF(F134="Yes","Y","N")</f>
        <v>N</v>
      </c>
      <c r="K134" s="45" t="str">
        <f t="shared" ref="K134:K138" si="36">IF(AND(OR(F134="No",F134="NA"),ISBLANK(H134)),"Please enter your comments","")</f>
        <v/>
      </c>
      <c r="L134" s="15"/>
      <c r="M134" s="15"/>
      <c r="N134" s="15"/>
      <c r="O134" s="15"/>
      <c r="P134" s="15"/>
      <c r="Q134" s="15"/>
      <c r="R134" s="15"/>
      <c r="S134" s="15"/>
      <c r="T134" s="15"/>
      <c r="U134" s="15"/>
      <c r="V134" s="15"/>
      <c r="W134" s="15"/>
      <c r="X134" s="15"/>
      <c r="Y134" s="15"/>
      <c r="Z134" s="15"/>
    </row>
    <row r="135" ht="12.0" customHeight="1">
      <c r="A135" s="39">
        <v>8.0</v>
      </c>
      <c r="B135" s="86" t="s">
        <v>438</v>
      </c>
      <c r="C135" s="65">
        <v>1.0</v>
      </c>
      <c r="D135" s="45" t="s">
        <v>636</v>
      </c>
      <c r="E135" s="45" t="s">
        <v>445</v>
      </c>
      <c r="F135" s="45"/>
      <c r="G135" s="45" t="str">
        <f>IF(F135="Yes","The application uses appropriate certification authority.",IF(OR(F135="No",F135="NA"),"Recommended to use  appropriate certification authority.",""))</f>
        <v/>
      </c>
      <c r="H135" s="45"/>
      <c r="I135" s="45"/>
      <c r="J135" s="45" t="str">
        <f t="shared" si="35"/>
        <v>N</v>
      </c>
      <c r="K135" s="45" t="str">
        <f t="shared" si="36"/>
        <v/>
      </c>
      <c r="L135" s="15"/>
      <c r="M135" s="15"/>
      <c r="N135" s="15"/>
      <c r="O135" s="15"/>
      <c r="P135" s="15"/>
      <c r="Q135" s="15"/>
      <c r="R135" s="15"/>
      <c r="S135" s="15"/>
      <c r="T135" s="15"/>
      <c r="U135" s="15"/>
      <c r="V135" s="15"/>
      <c r="W135" s="15"/>
      <c r="X135" s="15"/>
      <c r="Y135" s="15"/>
      <c r="Z135" s="15"/>
    </row>
    <row r="136" ht="12.0" customHeight="1">
      <c r="A136" s="39">
        <v>9.0</v>
      </c>
      <c r="B136" s="86" t="s">
        <v>440</v>
      </c>
      <c r="C136" s="65">
        <v>1.0</v>
      </c>
      <c r="D136" s="45" t="s">
        <v>637</v>
      </c>
      <c r="E136" s="45" t="s">
        <v>445</v>
      </c>
      <c r="F136" s="45"/>
      <c r="G136" s="45" t="str">
        <f>IF(F136="Yes","The application supports only strong protocols.",IF(OR(F136="No",F136="NA"),"Reccommended that the application supports only strong protocols.",""))</f>
        <v/>
      </c>
      <c r="H136" s="45"/>
      <c r="I136" s="45"/>
      <c r="J136" s="45" t="str">
        <f t="shared" si="35"/>
        <v>N</v>
      </c>
      <c r="K136" s="45" t="str">
        <f t="shared" si="36"/>
        <v/>
      </c>
      <c r="L136" s="15"/>
      <c r="M136" s="15"/>
      <c r="N136" s="15"/>
      <c r="O136" s="15"/>
      <c r="P136" s="15"/>
      <c r="Q136" s="15"/>
      <c r="R136" s="15"/>
      <c r="S136" s="15"/>
      <c r="T136" s="15"/>
      <c r="U136" s="15"/>
      <c r="V136" s="15"/>
      <c r="W136" s="15"/>
      <c r="X136" s="15"/>
      <c r="Y136" s="15"/>
      <c r="Z136" s="15"/>
    </row>
    <row r="137" ht="12.0" customHeight="1">
      <c r="A137" s="39">
        <v>10.0</v>
      </c>
      <c r="B137" s="86" t="s">
        <v>441</v>
      </c>
      <c r="C137" s="65">
        <v>1.0</v>
      </c>
      <c r="D137" s="45" t="s">
        <v>638</v>
      </c>
      <c r="E137" s="45" t="s">
        <v>445</v>
      </c>
      <c r="F137" s="45"/>
      <c r="G137" s="45" t="str">
        <f>IF(F137="Yes","The application uses HTTP Strict Transport Security &amp; Public Key Pinning.",IF(OR(F137="No",F137="NA"),"Recommended to use HTTP Strict Transport Security &amp; Public Key Pinning.",""))</f>
        <v/>
      </c>
      <c r="H137" s="55" t="s">
        <v>46</v>
      </c>
      <c r="I137" s="45"/>
      <c r="J137" s="45" t="str">
        <f t="shared" si="35"/>
        <v>N</v>
      </c>
      <c r="K137" s="45" t="str">
        <f t="shared" si="36"/>
        <v/>
      </c>
      <c r="L137" s="15"/>
      <c r="M137" s="15"/>
      <c r="N137" s="15"/>
      <c r="O137" s="15"/>
      <c r="P137" s="15"/>
      <c r="Q137" s="15"/>
      <c r="R137" s="15"/>
      <c r="S137" s="15"/>
      <c r="T137" s="15"/>
      <c r="U137" s="15"/>
      <c r="V137" s="15"/>
      <c r="W137" s="15"/>
      <c r="X137" s="15"/>
      <c r="Y137" s="15"/>
      <c r="Z137" s="15"/>
    </row>
    <row r="138" ht="12.0" customHeight="1">
      <c r="A138" s="39">
        <v>11.0</v>
      </c>
      <c r="B138" s="90" t="s">
        <v>444</v>
      </c>
      <c r="C138" s="65">
        <v>1.0</v>
      </c>
      <c r="D138" s="45" t="s">
        <v>639</v>
      </c>
      <c r="E138" s="45" t="str">
        <f>IF(F133="Yes","Yes","No")</f>
        <v>No</v>
      </c>
      <c r="F138" s="45"/>
      <c r="G138" s="45" t="str">
        <f>IF(F138="Yes","The application doesnot mix TLS and Non-TLS Content.",IF(OR(F138="No",F138="NA"),"Recommended not to mix TLS and Non-TLS Content.",""))</f>
        <v/>
      </c>
      <c r="H138" s="55" t="s">
        <v>46</v>
      </c>
      <c r="I138" s="45"/>
      <c r="J138" s="45" t="str">
        <f>IF(E138="No","Y",IF(F133="No","Y",IF(F138="Yes","Y","N")))</f>
        <v>Y</v>
      </c>
      <c r="K138" s="45" t="str">
        <f t="shared" si="36"/>
        <v/>
      </c>
      <c r="L138" s="15"/>
      <c r="M138" s="15"/>
      <c r="N138" s="15"/>
      <c r="O138" s="15"/>
      <c r="P138" s="15"/>
      <c r="Q138" s="15"/>
      <c r="R138" s="15"/>
      <c r="S138" s="15"/>
      <c r="T138" s="15"/>
      <c r="U138" s="15"/>
      <c r="V138" s="15"/>
      <c r="W138" s="15"/>
      <c r="X138" s="15"/>
      <c r="Y138" s="15"/>
      <c r="Z138" s="15"/>
    </row>
    <row r="139" ht="12.0" customHeight="1">
      <c r="A139" s="85" t="s">
        <v>640</v>
      </c>
      <c r="B139" s="4"/>
      <c r="C139" s="4"/>
      <c r="D139" s="4"/>
      <c r="E139" s="4"/>
      <c r="F139" s="4"/>
      <c r="G139" s="4"/>
      <c r="H139" s="4"/>
      <c r="I139" s="4"/>
      <c r="J139" s="4"/>
      <c r="K139" s="11"/>
      <c r="L139" s="15"/>
      <c r="M139" s="15"/>
      <c r="N139" s="15"/>
      <c r="O139" s="15"/>
      <c r="P139" s="15"/>
      <c r="Q139" s="15"/>
      <c r="R139" s="15"/>
      <c r="S139" s="15"/>
      <c r="T139" s="15"/>
      <c r="U139" s="15"/>
      <c r="V139" s="15"/>
      <c r="W139" s="15"/>
      <c r="X139" s="15"/>
      <c r="Y139" s="15"/>
      <c r="Z139" s="15"/>
    </row>
    <row r="140" ht="12.0" customHeight="1">
      <c r="A140" s="39">
        <v>1.0</v>
      </c>
      <c r="B140" s="43" t="s">
        <v>447</v>
      </c>
      <c r="C140" s="39">
        <v>1.0</v>
      </c>
      <c r="D140" s="45" t="s">
        <v>641</v>
      </c>
      <c r="E140" s="45" t="s">
        <v>445</v>
      </c>
      <c r="F140" s="45"/>
      <c r="G140" s="45" t="str">
        <f>IF(F140="Yes","Business Rules are identified seperately.",IF(OR(F140="No",F140="NA"),"Recommended to identify business rules seperately.",""))</f>
        <v/>
      </c>
      <c r="H140" s="64" t="s">
        <v>642</v>
      </c>
      <c r="I140" s="45"/>
      <c r="J140" s="45" t="str">
        <f t="shared" ref="J140:J149" si="37">IF(F140="Yes","Y","N")</f>
        <v>N</v>
      </c>
      <c r="K140" s="45" t="str">
        <f t="shared" ref="K140:K150" si="38">IF(AND(OR(F140="No",F140="NA"),ISBLANK(H140)),"Please enter your comments","")</f>
        <v/>
      </c>
      <c r="L140" s="15"/>
      <c r="M140" s="15"/>
      <c r="N140" s="15"/>
      <c r="O140" s="15"/>
      <c r="P140" s="15"/>
      <c r="Q140" s="15"/>
      <c r="R140" s="15"/>
      <c r="S140" s="15"/>
      <c r="T140" s="15"/>
      <c r="U140" s="15"/>
      <c r="V140" s="15"/>
      <c r="W140" s="15"/>
      <c r="X140" s="15"/>
      <c r="Y140" s="15"/>
      <c r="Z140" s="15"/>
    </row>
    <row r="141" ht="12.0" customHeight="1">
      <c r="A141" s="39">
        <v>2.0</v>
      </c>
      <c r="B141" s="43" t="s">
        <v>448</v>
      </c>
      <c r="C141" s="39">
        <v>1.0</v>
      </c>
      <c r="D141" s="45" t="s">
        <v>643</v>
      </c>
      <c r="E141" s="45" t="s">
        <v>445</v>
      </c>
      <c r="F141" s="45"/>
      <c r="G141" s="45" t="str">
        <f>IF(F141="Yes","The test cases include negative/abuse cases derived from functional requirements.",IF(OR(F141="No",F141="NA"),"Test cases should include negative/abuse cases derived from functional requirements.",""))</f>
        <v/>
      </c>
      <c r="H141" s="55" t="s">
        <v>46</v>
      </c>
      <c r="I141" s="45"/>
      <c r="J141" s="45" t="str">
        <f t="shared" si="37"/>
        <v>N</v>
      </c>
      <c r="K141" s="45" t="str">
        <f t="shared" si="38"/>
        <v/>
      </c>
      <c r="L141" s="15"/>
      <c r="M141" s="15"/>
      <c r="N141" s="15"/>
      <c r="O141" s="15"/>
      <c r="P141" s="15"/>
      <c r="Q141" s="15"/>
      <c r="R141" s="15"/>
      <c r="S141" s="15"/>
      <c r="T141" s="15"/>
      <c r="U141" s="15"/>
      <c r="V141" s="15"/>
      <c r="W141" s="15"/>
      <c r="X141" s="15"/>
      <c r="Y141" s="15"/>
      <c r="Z141" s="15"/>
    </row>
    <row r="142" ht="12.0" customHeight="1">
      <c r="A142" s="39">
        <v>3.0</v>
      </c>
      <c r="B142" s="43" t="s">
        <v>449</v>
      </c>
      <c r="C142" s="39">
        <v>1.0</v>
      </c>
      <c r="D142" s="45" t="s">
        <v>644</v>
      </c>
      <c r="E142" s="45" t="s">
        <v>445</v>
      </c>
      <c r="F142" s="45"/>
      <c r="G142" s="45" t="str">
        <f>IF(F142="Yes","Application doesnot allow any backdoor entries.",IF(OR(F142="No",F142="NA"),"Ensure that the application is fully protected by authentication and authorization.",""))</f>
        <v/>
      </c>
      <c r="H142" s="64" t="s">
        <v>645</v>
      </c>
      <c r="I142" s="45"/>
      <c r="J142" s="45" t="str">
        <f t="shared" si="37"/>
        <v>N</v>
      </c>
      <c r="K142" s="45" t="str">
        <f t="shared" si="38"/>
        <v/>
      </c>
      <c r="L142" s="15"/>
      <c r="M142" s="15"/>
      <c r="N142" s="15"/>
      <c r="O142" s="15"/>
      <c r="P142" s="15"/>
      <c r="Q142" s="15"/>
      <c r="R142" s="15"/>
      <c r="S142" s="15"/>
      <c r="T142" s="15"/>
      <c r="U142" s="15"/>
      <c r="V142" s="15"/>
      <c r="W142" s="15"/>
      <c r="X142" s="15"/>
      <c r="Y142" s="15"/>
      <c r="Z142" s="15"/>
    </row>
    <row r="143" ht="12.0" customHeight="1">
      <c r="A143" s="39">
        <v>4.0</v>
      </c>
      <c r="B143" s="43" t="s">
        <v>452</v>
      </c>
      <c r="C143" s="39">
        <v>1.0</v>
      </c>
      <c r="D143" s="45" t="s">
        <v>646</v>
      </c>
      <c r="E143" s="45" t="s">
        <v>445</v>
      </c>
      <c r="F143" s="45"/>
      <c r="G143" s="45" t="str">
        <f>IF(F143="Yes","The application undergoes proper sanity checks.",IF(OR(F143="No",F143="NA"),"Recommended to undergo sanity checks.",""))</f>
        <v/>
      </c>
      <c r="H143" s="64" t="s">
        <v>647</v>
      </c>
      <c r="I143" s="45"/>
      <c r="J143" s="45" t="str">
        <f t="shared" si="37"/>
        <v>N</v>
      </c>
      <c r="K143" s="45" t="str">
        <f t="shared" si="38"/>
        <v/>
      </c>
      <c r="L143" s="15"/>
      <c r="M143" s="15"/>
      <c r="N143" s="15"/>
      <c r="O143" s="15"/>
      <c r="P143" s="15"/>
      <c r="Q143" s="15"/>
      <c r="R143" s="15"/>
      <c r="S143" s="15"/>
      <c r="T143" s="15"/>
      <c r="U143" s="15"/>
      <c r="V143" s="15"/>
      <c r="W143" s="15"/>
      <c r="X143" s="15"/>
      <c r="Y143" s="15"/>
      <c r="Z143" s="15"/>
    </row>
    <row r="144" ht="12.0" customHeight="1">
      <c r="A144" s="39">
        <v>5.0</v>
      </c>
      <c r="B144" s="43" t="s">
        <v>454</v>
      </c>
      <c r="C144" s="65" t="s">
        <v>648</v>
      </c>
      <c r="D144" s="45" t="s">
        <v>649</v>
      </c>
      <c r="E144" s="45" t="s">
        <v>445</v>
      </c>
      <c r="F144" s="45"/>
      <c r="G144" s="45" t="str">
        <f>IF(F144="Yes","The application doesnot make any requests guessable.",IF(OR(F144="No",F144="NA"),"Recommended to avoid showing such details in the request.",""))</f>
        <v/>
      </c>
      <c r="H144" s="64" t="s">
        <v>650</v>
      </c>
      <c r="I144" s="45"/>
      <c r="J144" s="45" t="str">
        <f t="shared" si="37"/>
        <v>N</v>
      </c>
      <c r="K144" s="45" t="str">
        <f t="shared" si="38"/>
        <v/>
      </c>
      <c r="L144" s="15"/>
      <c r="M144" s="15"/>
      <c r="N144" s="15"/>
      <c r="O144" s="15"/>
      <c r="P144" s="15"/>
      <c r="Q144" s="15"/>
      <c r="R144" s="15"/>
      <c r="S144" s="15"/>
      <c r="T144" s="15"/>
      <c r="U144" s="15"/>
      <c r="V144" s="15"/>
      <c r="W144" s="15"/>
      <c r="X144" s="15"/>
      <c r="Y144" s="15"/>
      <c r="Z144" s="15"/>
    </row>
    <row r="145" ht="12.0" customHeight="1">
      <c r="A145" s="39">
        <v>6.0</v>
      </c>
      <c r="B145" s="43" t="s">
        <v>651</v>
      </c>
      <c r="C145" s="39">
        <v>1.0</v>
      </c>
      <c r="D145" s="45" t="s">
        <v>652</v>
      </c>
      <c r="E145" s="45" t="s">
        <v>445</v>
      </c>
      <c r="F145" s="45"/>
      <c r="G145" s="45" t="str">
        <f>IF(F145="Yes","The code is not complex.",IF(OR(F145="No",F145="NA"),"Recommended to reduce the code complexity.",""))</f>
        <v/>
      </c>
      <c r="H145" s="64" t="s">
        <v>653</v>
      </c>
      <c r="I145" s="45"/>
      <c r="J145" s="45" t="str">
        <f t="shared" si="37"/>
        <v>N</v>
      </c>
      <c r="K145" s="45" t="str">
        <f t="shared" si="38"/>
        <v/>
      </c>
      <c r="L145" s="15"/>
      <c r="M145" s="15"/>
      <c r="N145" s="15"/>
      <c r="O145" s="15"/>
      <c r="P145" s="15"/>
      <c r="Q145" s="15"/>
      <c r="R145" s="15"/>
      <c r="S145" s="15"/>
      <c r="T145" s="15"/>
      <c r="U145" s="15"/>
      <c r="V145" s="15"/>
      <c r="W145" s="15"/>
      <c r="X145" s="15"/>
      <c r="Y145" s="15"/>
      <c r="Z145" s="15"/>
    </row>
    <row r="146" ht="12.0" customHeight="1">
      <c r="A146" s="39">
        <v>7.0</v>
      </c>
      <c r="B146" s="43" t="s">
        <v>458</v>
      </c>
      <c r="C146" s="39">
        <v>1.0</v>
      </c>
      <c r="D146" s="45" t="s">
        <v>654</v>
      </c>
      <c r="E146" s="45" t="s">
        <v>445</v>
      </c>
      <c r="F146" s="45"/>
      <c r="G146" s="45" t="str">
        <f>IF(F146="Yes","The businesslogic is check for accuracy and completeness.",IF(OR(F146="No",F146="NA"),"Recommended to review the businesslogic for accuracy and completeness.",""))</f>
        <v/>
      </c>
      <c r="H146" s="64" t="s">
        <v>655</v>
      </c>
      <c r="I146" s="45"/>
      <c r="J146" s="45" t="str">
        <f t="shared" si="37"/>
        <v>N</v>
      </c>
      <c r="K146" s="45" t="str">
        <f t="shared" si="38"/>
        <v/>
      </c>
      <c r="L146" s="15"/>
      <c r="M146" s="15"/>
      <c r="N146" s="15"/>
      <c r="O146" s="15"/>
      <c r="P146" s="15"/>
      <c r="Q146" s="15"/>
      <c r="R146" s="15"/>
      <c r="S146" s="15"/>
      <c r="T146" s="15"/>
      <c r="U146" s="15"/>
      <c r="V146" s="15"/>
      <c r="W146" s="15"/>
      <c r="X146" s="15"/>
      <c r="Y146" s="15"/>
      <c r="Z146" s="15"/>
    </row>
    <row r="147" ht="12.0" customHeight="1">
      <c r="A147" s="39">
        <v>8.0</v>
      </c>
      <c r="B147" s="43" t="s">
        <v>460</v>
      </c>
      <c r="C147" s="39">
        <v>1.0</v>
      </c>
      <c r="D147" s="45" t="s">
        <v>656</v>
      </c>
      <c r="E147" s="45" t="s">
        <v>445</v>
      </c>
      <c r="F147" s="45"/>
      <c r="G147" s="45" t="str">
        <f>IF(F147="Yes","The assets/ inventories are tracked regularly.",IF(OR(F147="No",F147="NA"),"Recommended to audit assets or inventory on a regular basis.",""))</f>
        <v/>
      </c>
      <c r="H147" s="55" t="s">
        <v>46</v>
      </c>
      <c r="I147" s="45"/>
      <c r="J147" s="45" t="str">
        <f t="shared" si="37"/>
        <v>N</v>
      </c>
      <c r="K147" s="45" t="str">
        <f t="shared" si="38"/>
        <v/>
      </c>
      <c r="L147" s="15"/>
      <c r="M147" s="15"/>
      <c r="N147" s="15"/>
      <c r="O147" s="15"/>
      <c r="P147" s="15"/>
      <c r="Q147" s="15"/>
      <c r="R147" s="15"/>
      <c r="S147" s="15"/>
      <c r="T147" s="15"/>
      <c r="U147" s="15"/>
      <c r="V147" s="15"/>
      <c r="W147" s="15"/>
      <c r="X147" s="15"/>
      <c r="Y147" s="15"/>
      <c r="Z147" s="15"/>
    </row>
    <row r="148" ht="12.0" customHeight="1">
      <c r="A148" s="39">
        <v>9.0</v>
      </c>
      <c r="B148" s="43" t="s">
        <v>463</v>
      </c>
      <c r="C148" s="65">
        <v>1.0</v>
      </c>
      <c r="D148" s="45" t="s">
        <v>657</v>
      </c>
      <c r="E148" s="45" t="s">
        <v>445</v>
      </c>
      <c r="F148" s="45"/>
      <c r="G148" s="45" t="str">
        <f>IF(F148="Yes","Accountability of systems executing the logic are defined.",IF(OR(F148="No",F148="NA"),"Recommended to learly define accountability for systems executing the logic.",""))</f>
        <v/>
      </c>
      <c r="H148" s="64" t="s">
        <v>658</v>
      </c>
      <c r="I148" s="45"/>
      <c r="J148" s="45" t="str">
        <f t="shared" si="37"/>
        <v>N</v>
      </c>
      <c r="K148" s="45" t="str">
        <f t="shared" si="38"/>
        <v/>
      </c>
      <c r="L148" s="15"/>
      <c r="M148" s="15"/>
      <c r="N148" s="15"/>
      <c r="O148" s="15"/>
      <c r="P148" s="15"/>
      <c r="Q148" s="15"/>
      <c r="R148" s="15"/>
      <c r="S148" s="15"/>
      <c r="T148" s="15"/>
      <c r="U148" s="15"/>
      <c r="V148" s="15"/>
      <c r="W148" s="15"/>
      <c r="X148" s="15"/>
      <c r="Y148" s="15"/>
      <c r="Z148" s="15"/>
    </row>
    <row r="149" ht="12.0" customHeight="1">
      <c r="A149" s="39">
        <v>10.0</v>
      </c>
      <c r="B149" s="43" t="s">
        <v>659</v>
      </c>
      <c r="C149" s="65">
        <v>1.0</v>
      </c>
      <c r="D149" s="45" t="s">
        <v>660</v>
      </c>
      <c r="E149" s="45" t="s">
        <v>445</v>
      </c>
      <c r="F149" s="45"/>
      <c r="G149" s="45" t="str">
        <f>IF(F149="Yes","Application ensures safe UUID, Random Numbers Generation.",IF(OR(F149="No",F149="NA"),"Recommended to ensure safe UUID, Random Numbers Generation.",""))</f>
        <v/>
      </c>
      <c r="H149" s="64" t="s">
        <v>661</v>
      </c>
      <c r="I149" s="45"/>
      <c r="J149" s="45" t="str">
        <f t="shared" si="37"/>
        <v>N</v>
      </c>
      <c r="K149" s="45" t="str">
        <f t="shared" si="38"/>
        <v/>
      </c>
      <c r="L149" s="15"/>
      <c r="M149" s="15"/>
      <c r="N149" s="15"/>
      <c r="O149" s="15"/>
      <c r="P149" s="15"/>
      <c r="Q149" s="15"/>
      <c r="R149" s="15"/>
      <c r="S149" s="15"/>
      <c r="T149" s="15"/>
      <c r="U149" s="15"/>
      <c r="V149" s="15"/>
      <c r="W149" s="15"/>
      <c r="X149" s="15"/>
      <c r="Y149" s="15"/>
      <c r="Z149" s="15"/>
    </row>
    <row r="150" ht="12.0" customHeight="1">
      <c r="A150" s="39">
        <v>11.0</v>
      </c>
      <c r="B150" s="43" t="s">
        <v>465</v>
      </c>
      <c r="C150" s="65">
        <v>1.0</v>
      </c>
      <c r="D150" s="45" t="s">
        <v>662</v>
      </c>
      <c r="E150" s="45" t="str">
        <f>IF(F4="Yes","No",IF(F151="Yes","No","Yes"))</f>
        <v>Yes</v>
      </c>
      <c r="F150" s="45"/>
      <c r="G150" s="45" t="str">
        <f>IF(F150="Yes","The application takes preventive measures to avoid Brute Forcing or guessing attempts.",IF(OR(F150="No",F150="NA"),"Recommended to take preventive measures to avoid Brute Forcing or guessing attempts.",""))</f>
        <v/>
      </c>
      <c r="H150" s="55" t="s">
        <v>46</v>
      </c>
      <c r="I150" s="45"/>
      <c r="J150" s="45" t="str">
        <f>IF(F4="Yes","Y",IF(F150="Yes","Y","N"))</f>
        <v>N</v>
      </c>
      <c r="K150" s="45" t="str">
        <f t="shared" si="38"/>
        <v/>
      </c>
      <c r="L150" s="15"/>
      <c r="M150" s="15"/>
      <c r="N150" s="15"/>
      <c r="O150" s="15"/>
      <c r="P150" s="15"/>
      <c r="Q150" s="15"/>
      <c r="R150" s="15"/>
      <c r="S150" s="15"/>
      <c r="T150" s="15"/>
      <c r="U150" s="15"/>
      <c r="V150" s="15"/>
      <c r="W150" s="15"/>
      <c r="X150" s="15"/>
      <c r="Y150" s="15"/>
      <c r="Z150" s="15"/>
    </row>
    <row r="151" ht="12.0" customHeight="1">
      <c r="A151" s="39"/>
      <c r="B151" s="45"/>
      <c r="C151" s="65">
        <v>2.0</v>
      </c>
      <c r="D151" s="45" t="s">
        <v>67</v>
      </c>
      <c r="E151" s="45" t="str">
        <f>IF(F150="Yes","No","Yes")</f>
        <v>Yes</v>
      </c>
      <c r="F151" s="45"/>
      <c r="G151" s="45"/>
      <c r="H151" s="45"/>
      <c r="I151" s="45"/>
      <c r="J151" s="45"/>
      <c r="K151" s="45" t="str">
        <f>IF(AND(F151="Yes",ISBLANK(H151)),"Please enter your comments","")</f>
        <v/>
      </c>
      <c r="L151" s="15"/>
      <c r="M151" s="15"/>
      <c r="N151" s="15"/>
      <c r="O151" s="15"/>
      <c r="P151" s="15"/>
      <c r="Q151" s="15"/>
      <c r="R151" s="15"/>
      <c r="S151" s="15"/>
      <c r="T151" s="15"/>
      <c r="U151" s="15"/>
      <c r="V151" s="15"/>
      <c r="W151" s="15"/>
      <c r="X151" s="15"/>
      <c r="Y151" s="15"/>
      <c r="Z151" s="15"/>
    </row>
    <row r="152" ht="12.0" customHeight="1">
      <c r="A152" s="39">
        <v>12.0</v>
      </c>
      <c r="B152" s="43" t="s">
        <v>663</v>
      </c>
      <c r="C152" s="65">
        <v>1.0</v>
      </c>
      <c r="D152" s="45" t="s">
        <v>664</v>
      </c>
      <c r="E152" s="45" t="s">
        <v>445</v>
      </c>
      <c r="F152" s="45"/>
      <c r="H152" s="64" t="s">
        <v>665</v>
      </c>
      <c r="I152" s="45"/>
      <c r="J152" s="45" t="str">
        <f>IF(F152="Yes","Y","N")</f>
        <v>N</v>
      </c>
      <c r="K152" s="45" t="str">
        <f>IF(AND(OR(F152="No",F152="NA"),ISBLANK(#REF!)),"Please enter your comments","")</f>
        <v/>
      </c>
      <c r="L152" s="15"/>
      <c r="M152" s="15"/>
      <c r="N152" s="15"/>
      <c r="O152" s="15"/>
      <c r="P152" s="15"/>
      <c r="Q152" s="15"/>
      <c r="R152" s="15"/>
      <c r="S152" s="15"/>
      <c r="T152" s="15"/>
      <c r="U152" s="15"/>
      <c r="V152" s="15"/>
      <c r="W152" s="15"/>
      <c r="X152" s="15"/>
      <c r="Y152" s="15"/>
      <c r="Z152" s="15"/>
    </row>
    <row r="153" ht="12.0" customHeight="1">
      <c r="A153" s="39">
        <v>13.0</v>
      </c>
      <c r="B153" s="43" t="s">
        <v>666</v>
      </c>
      <c r="C153" s="65">
        <v>1.0</v>
      </c>
      <c r="D153" s="45" t="s">
        <v>667</v>
      </c>
      <c r="E153" s="45" t="str">
        <f>IF(F34="Yes","Yes","No")</f>
        <v>No</v>
      </c>
      <c r="F153" s="45"/>
      <c r="G153" s="45" t="str">
        <f>IF(F153="Yes","User acknowledgements are insisted.",IF(OR(F153="No",F153="NA"),"Recommended to insist acknowledgements.",""))</f>
        <v/>
      </c>
      <c r="H153" s="45"/>
      <c r="I153" s="45"/>
      <c r="J153" s="45" t="str">
        <f>IF(E153="No","Y",IF(OR(OR(F34="No",F34="NA"),F153="Yes"),"Y","N"))</f>
        <v>Y</v>
      </c>
      <c r="K153" s="45" t="str">
        <f t="shared" ref="K153:K155" si="39">IF(AND(OR(F153="No",F153="NA"),ISBLANK(H153)),"Please enter your comments","")</f>
        <v/>
      </c>
      <c r="L153" s="15"/>
      <c r="M153" s="15"/>
      <c r="N153" s="15"/>
      <c r="O153" s="15"/>
      <c r="P153" s="15"/>
      <c r="Q153" s="15"/>
      <c r="R153" s="15"/>
      <c r="S153" s="15"/>
      <c r="T153" s="15"/>
      <c r="U153" s="15"/>
      <c r="V153" s="15"/>
      <c r="W153" s="15"/>
      <c r="X153" s="15"/>
      <c r="Y153" s="15"/>
      <c r="Z153" s="15"/>
    </row>
    <row r="154" ht="12.0" customHeight="1">
      <c r="A154" s="39">
        <v>14.0</v>
      </c>
      <c r="B154" s="43" t="s">
        <v>668</v>
      </c>
      <c r="C154" s="65">
        <v>1.0</v>
      </c>
      <c r="D154" s="45" t="s">
        <v>669</v>
      </c>
      <c r="E154" s="45" t="s">
        <v>445</v>
      </c>
      <c r="F154" s="45"/>
      <c r="G154" s="45" t="str">
        <f>IF(F154="Yes","Changes in logic are approved at all levels.",IF(OR(F154="No",F154="NA"),"Recommended that the changes in logic are approved at all levels.",""))</f>
        <v/>
      </c>
      <c r="H154" s="55" t="s">
        <v>46</v>
      </c>
      <c r="I154" s="45"/>
      <c r="J154" s="45" t="str">
        <f t="shared" ref="J154:J155" si="40">IF(F154="Yes","Y","N")</f>
        <v>N</v>
      </c>
      <c r="K154" s="45" t="str">
        <f t="shared" si="39"/>
        <v/>
      </c>
      <c r="L154" s="15"/>
      <c r="M154" s="15"/>
      <c r="N154" s="15"/>
      <c r="O154" s="15"/>
      <c r="P154" s="15"/>
      <c r="Q154" s="15"/>
      <c r="R154" s="15"/>
      <c r="S154" s="15"/>
      <c r="T154" s="15"/>
      <c r="U154" s="15"/>
      <c r="V154" s="15"/>
      <c r="W154" s="15"/>
      <c r="X154" s="15"/>
      <c r="Y154" s="15"/>
      <c r="Z154" s="15"/>
    </row>
    <row r="155" ht="12.0" customHeight="1">
      <c r="A155" s="39">
        <v>15.0</v>
      </c>
      <c r="B155" s="43" t="s">
        <v>470</v>
      </c>
      <c r="C155" s="65">
        <v>1.0</v>
      </c>
      <c r="D155" s="45" t="s">
        <v>670</v>
      </c>
      <c r="E155" s="45" t="s">
        <v>445</v>
      </c>
      <c r="F155" s="45"/>
      <c r="G155" s="45" t="str">
        <f>IF(F155="Yes","Usage of resources is limited by priority.",IF(OR(F155="No",F155="NA"),"Recommended to limit the use of resources by priority.",""))</f>
        <v/>
      </c>
      <c r="H155" s="64" t="s">
        <v>671</v>
      </c>
      <c r="I155" s="45"/>
      <c r="J155" s="45" t="str">
        <f t="shared" si="40"/>
        <v>N</v>
      </c>
      <c r="K155" s="45" t="str">
        <f t="shared" si="39"/>
        <v/>
      </c>
      <c r="L155" s="15"/>
      <c r="M155" s="15"/>
      <c r="N155" s="15"/>
      <c r="O155" s="15"/>
      <c r="P155" s="15"/>
      <c r="Q155" s="15"/>
      <c r="R155" s="15"/>
      <c r="S155" s="15"/>
      <c r="T155" s="15"/>
      <c r="U155" s="15"/>
      <c r="V155" s="15"/>
      <c r="W155" s="15"/>
      <c r="X155" s="15"/>
      <c r="Y155" s="15"/>
      <c r="Z155" s="15"/>
    </row>
    <row r="156" ht="12.0" customHeight="1">
      <c r="A156" s="85" t="s">
        <v>472</v>
      </c>
      <c r="B156" s="4"/>
      <c r="C156" s="4"/>
      <c r="D156" s="4"/>
      <c r="E156" s="4"/>
      <c r="F156" s="4"/>
      <c r="G156" s="4"/>
      <c r="H156" s="4"/>
      <c r="I156" s="4"/>
      <c r="J156" s="4"/>
      <c r="K156" s="11"/>
      <c r="L156" s="15"/>
      <c r="M156" s="15"/>
      <c r="N156" s="15"/>
      <c r="O156" s="15"/>
      <c r="P156" s="15"/>
      <c r="Q156" s="15"/>
      <c r="R156" s="15"/>
      <c r="S156" s="15"/>
      <c r="T156" s="15"/>
      <c r="U156" s="15"/>
      <c r="V156" s="15"/>
      <c r="W156" s="15"/>
      <c r="X156" s="15"/>
      <c r="Y156" s="15"/>
      <c r="Z156" s="15"/>
    </row>
    <row r="157" ht="12.0" customHeight="1">
      <c r="A157" s="39">
        <v>1.0</v>
      </c>
      <c r="B157" s="43" t="s">
        <v>672</v>
      </c>
      <c r="C157" s="65">
        <v>1.0</v>
      </c>
      <c r="D157" s="45" t="s">
        <v>673</v>
      </c>
      <c r="E157" s="45" t="s">
        <v>445</v>
      </c>
      <c r="F157" s="45"/>
      <c r="G157" s="45" t="str">
        <f>IF(F157="Yes","",IF(OR(F157="No",F157="NA"),"No encryption is involved since the application does not store system secrets like DB password or FTP credentials or any such system secrets or any sensitive data",""))</f>
        <v/>
      </c>
      <c r="H157" s="64" t="s">
        <v>674</v>
      </c>
      <c r="I157" s="45"/>
      <c r="J157" s="45" t="str">
        <f>IF(F157="Yes",J158,IF(NOT(ISBLANK(F157)),"Y","N"))</f>
        <v>N</v>
      </c>
      <c r="K157" s="45"/>
      <c r="L157" s="15"/>
      <c r="M157" s="15"/>
      <c r="N157" s="15"/>
      <c r="O157" s="15"/>
      <c r="P157" s="15"/>
      <c r="Q157" s="15"/>
      <c r="R157" s="15"/>
      <c r="S157" s="15"/>
      <c r="T157" s="15"/>
      <c r="U157" s="15"/>
      <c r="V157" s="15"/>
      <c r="W157" s="15"/>
      <c r="X157" s="15"/>
      <c r="Y157" s="15"/>
      <c r="Z157" s="15"/>
    </row>
    <row r="158" ht="12.0" customHeight="1">
      <c r="A158" s="45"/>
      <c r="B158" s="45"/>
      <c r="C158" s="65">
        <v>1.1</v>
      </c>
      <c r="D158" s="45" t="s">
        <v>675</v>
      </c>
      <c r="E158" s="45" t="str">
        <f>IF(AND(F157="Yes",F159&lt;&gt;"Yes"),"Yes","No")</f>
        <v>No</v>
      </c>
      <c r="F158" s="45"/>
      <c r="G158" s="45" t="str">
        <f>IF(F158="Yes","The application uses encryption algorithms like AES256 with GCM encryption mode.",IF(OR(F158="No",F158="NA"),"Recommended to use encryption algorithms like AES256 with GCM encryption mode.",""))</f>
        <v/>
      </c>
      <c r="H158" s="55" t="s">
        <v>46</v>
      </c>
      <c r="I158" s="45"/>
      <c r="J158" s="45" t="str">
        <f>IF(F158="Yes","Y","N")</f>
        <v>N</v>
      </c>
      <c r="K158" s="45"/>
      <c r="L158" s="15"/>
      <c r="M158" s="15"/>
      <c r="N158" s="15"/>
      <c r="O158" s="15"/>
      <c r="P158" s="15"/>
      <c r="Q158" s="15"/>
      <c r="R158" s="15"/>
      <c r="S158" s="15"/>
      <c r="T158" s="15"/>
      <c r="U158" s="15"/>
      <c r="V158" s="15"/>
      <c r="W158" s="15"/>
      <c r="X158" s="15"/>
      <c r="Y158" s="15"/>
      <c r="Z158" s="15"/>
    </row>
    <row r="159" ht="12.0" customHeight="1">
      <c r="A159" s="45"/>
      <c r="B159" s="45"/>
      <c r="C159" s="65">
        <v>1.2</v>
      </c>
      <c r="D159" s="45" t="s">
        <v>67</v>
      </c>
      <c r="E159" s="45" t="str">
        <f>IF(AND(F157="Yes",F158&lt;&gt;"Yes"),"Yes","No")</f>
        <v>No</v>
      </c>
      <c r="F159" s="45"/>
      <c r="G159" s="45"/>
      <c r="H159" s="45"/>
      <c r="I159" s="45"/>
      <c r="J159" s="45"/>
      <c r="K159" s="45" t="str">
        <f>IF(AND(F159="Yes",ISBLANK(H159)),"Please enter your comments","")</f>
        <v/>
      </c>
      <c r="L159" s="15"/>
      <c r="M159" s="15"/>
      <c r="N159" s="15"/>
      <c r="O159" s="15"/>
      <c r="P159" s="15"/>
      <c r="Q159" s="15"/>
      <c r="R159" s="15"/>
      <c r="S159" s="15"/>
      <c r="T159" s="15"/>
      <c r="U159" s="15"/>
      <c r="V159" s="15"/>
      <c r="W159" s="15"/>
      <c r="X159" s="15"/>
      <c r="Y159" s="15"/>
      <c r="Z159" s="15"/>
    </row>
    <row r="160" ht="12.0" customHeight="1">
      <c r="A160" s="39">
        <v>2.0</v>
      </c>
      <c r="B160" s="43" t="s">
        <v>474</v>
      </c>
      <c r="C160" s="39">
        <v>1.0</v>
      </c>
      <c r="D160" s="45" t="s">
        <v>676</v>
      </c>
      <c r="E160" s="45" t="str">
        <f>IF(OR(F157="Yes",ISBLANK(F157)),"Yes","No")</f>
        <v>Yes</v>
      </c>
      <c r="F160" s="45"/>
      <c r="G160" s="45" t="str">
        <f>IF(F160="Yes","The keys are stored securely",IF(OR(F160="No",F160="NA"),"Recommended to store the keys in a key vault or a key store.",""))</f>
        <v/>
      </c>
      <c r="H160" s="55" t="s">
        <v>46</v>
      </c>
      <c r="I160" s="45"/>
      <c r="J160" s="45" t="str">
        <f>IF(E160="No","Y",IF(F160="Yes","Y","N"))</f>
        <v>N</v>
      </c>
      <c r="K160" s="45" t="str">
        <f>IF(AND(OR(F160="No",F160="NA"),ISBLANK(H160)),"Please enter your comments","")</f>
        <v/>
      </c>
      <c r="L160" s="15"/>
      <c r="M160" s="15"/>
      <c r="N160" s="15"/>
      <c r="O160" s="15"/>
      <c r="P160" s="15"/>
      <c r="Q160" s="15"/>
      <c r="R160" s="15"/>
      <c r="S160" s="15"/>
      <c r="T160" s="15"/>
      <c r="U160" s="15"/>
      <c r="V160" s="15"/>
      <c r="W160" s="15"/>
      <c r="X160" s="15"/>
      <c r="Y160" s="15"/>
      <c r="Z160" s="15"/>
    </row>
    <row r="161" ht="12.0" customHeight="1">
      <c r="A161" s="39">
        <v>3.0</v>
      </c>
      <c r="B161" s="43" t="s">
        <v>677</v>
      </c>
      <c r="C161" s="65">
        <v>1.0</v>
      </c>
      <c r="D161" s="45" t="s">
        <v>678</v>
      </c>
      <c r="E161" s="45" t="str">
        <f>IF(OR(F157="Yes",ISBLANK(F157)),"Yes","No")</f>
        <v>Yes</v>
      </c>
      <c r="F161" s="45"/>
      <c r="G161" s="45" t="str">
        <f>IF(OR(F161="No",F161="NA"),"The application does not have any child application, so there is no need for having different keys for different applications.","")</f>
        <v/>
      </c>
      <c r="H161" s="55" t="s">
        <v>46</v>
      </c>
      <c r="I161" s="45"/>
      <c r="J161" s="45" t="str">
        <f>IF(E161="No","Y",IF(F161="Yes",J162,IF(NOT(ISBLANK(F161)),"Y","N")))</f>
        <v>N</v>
      </c>
      <c r="K161" s="45"/>
      <c r="L161" s="15"/>
      <c r="M161" s="15"/>
      <c r="N161" s="15"/>
      <c r="O161" s="15"/>
      <c r="P161" s="15"/>
      <c r="Q161" s="15"/>
      <c r="R161" s="15"/>
      <c r="S161" s="15"/>
      <c r="T161" s="15"/>
      <c r="U161" s="15"/>
      <c r="V161" s="15"/>
      <c r="W161" s="15"/>
      <c r="X161" s="15"/>
      <c r="Y161" s="15"/>
      <c r="Z161" s="15"/>
    </row>
    <row r="162" ht="12.0" customHeight="1">
      <c r="A162" s="45"/>
      <c r="B162" s="45"/>
      <c r="C162" s="65">
        <v>1.1</v>
      </c>
      <c r="D162" s="45" t="s">
        <v>679</v>
      </c>
      <c r="E162" s="45" t="str">
        <f>IF(F161="Yes","Yes","No")</f>
        <v>No</v>
      </c>
      <c r="F162" s="45"/>
      <c r="G162" s="45" t="str">
        <f>IF(OR(F162="No",F162="NA"),"The application has a child application which does not store any sensitive data, so not mandatory to have different keys.","")</f>
        <v/>
      </c>
      <c r="H162" s="55" t="s">
        <v>46</v>
      </c>
      <c r="I162" s="45"/>
      <c r="J162" s="45" t="str">
        <f>IF(F162="Yes",J163,IF(NOT(ISBLANK(F162)),"Y","N"))</f>
        <v>N</v>
      </c>
      <c r="K162" s="45"/>
      <c r="L162" s="15"/>
      <c r="M162" s="15"/>
      <c r="N162" s="15"/>
      <c r="O162" s="15"/>
      <c r="P162" s="15"/>
      <c r="Q162" s="15"/>
      <c r="R162" s="15"/>
      <c r="S162" s="15"/>
      <c r="T162" s="15"/>
      <c r="U162" s="15"/>
      <c r="V162" s="15"/>
      <c r="W162" s="15"/>
      <c r="X162" s="15"/>
      <c r="Y162" s="15"/>
      <c r="Z162" s="15"/>
    </row>
    <row r="163" ht="12.0" customHeight="1">
      <c r="A163" s="45"/>
      <c r="B163" s="45"/>
      <c r="C163" s="65" t="s">
        <v>565</v>
      </c>
      <c r="D163" s="45" t="s">
        <v>680</v>
      </c>
      <c r="E163" s="45" t="str">
        <f>IF(AND(F161="Yes",F162="Yes"),"Yes","No")</f>
        <v>No</v>
      </c>
      <c r="F163" s="45"/>
      <c r="G163" s="45" t="str">
        <f>IF(F163="Yes","The application has a child application which stores sensitive data and uses different keys.",IF(OR(F163="No",F163="NA"),"The application has a child application which stores sensitive data and thus recommended to use different keys.",""))</f>
        <v/>
      </c>
      <c r="H163" s="55" t="s">
        <v>46</v>
      </c>
      <c r="I163" s="45"/>
      <c r="J163" s="45" t="str">
        <f>IF(F163="Yes","Y","N")</f>
        <v>N</v>
      </c>
      <c r="K163" s="45" t="str">
        <f t="shared" ref="K163:K164" si="41">IF(AND(OR(F163="No",F163="NA"),ISBLANK(H163)),"Please enter your comments","")</f>
        <v/>
      </c>
      <c r="L163" s="15"/>
      <c r="M163" s="15"/>
      <c r="N163" s="15"/>
      <c r="O163" s="15"/>
      <c r="P163" s="15"/>
      <c r="Q163" s="15"/>
      <c r="R163" s="15"/>
      <c r="S163" s="15"/>
      <c r="T163" s="15"/>
      <c r="U163" s="15"/>
      <c r="V163" s="15"/>
      <c r="W163" s="15"/>
      <c r="X163" s="15"/>
      <c r="Y163" s="15"/>
      <c r="Z163" s="15"/>
    </row>
    <row r="164" ht="12.0" customHeight="1">
      <c r="A164" s="39">
        <v>4.0</v>
      </c>
      <c r="B164" s="43" t="s">
        <v>476</v>
      </c>
      <c r="C164" s="65">
        <v>1.0</v>
      </c>
      <c r="D164" s="45" t="s">
        <v>681</v>
      </c>
      <c r="E164" s="45" t="str">
        <f>IF(AND(F157="Yes",F165&lt;&gt;"Yes"),"Yes","No")</f>
        <v>No</v>
      </c>
      <c r="F164" s="45"/>
      <c r="G164" s="45" t="str">
        <f>IF(F164="Yes","The key are rotated every 30-90 days.",IF(OR(F164="No",F164="NA"),"Recommended to implement key rotation preferable every 30-90 days.",""))</f>
        <v/>
      </c>
      <c r="H164" s="55" t="s">
        <v>46</v>
      </c>
      <c r="I164" s="45"/>
      <c r="J164" s="45" t="str">
        <f>IF(E164="No","Y",IF(F164="Yes","Y","N"))</f>
        <v>Y</v>
      </c>
      <c r="K164" s="45" t="str">
        <f t="shared" si="41"/>
        <v/>
      </c>
      <c r="L164" s="15"/>
      <c r="M164" s="15"/>
      <c r="N164" s="15"/>
      <c r="O164" s="15"/>
      <c r="P164" s="15"/>
      <c r="Q164" s="15"/>
      <c r="R164" s="15"/>
      <c r="S164" s="15"/>
      <c r="T164" s="15"/>
      <c r="U164" s="15"/>
      <c r="V164" s="15"/>
      <c r="W164" s="15"/>
      <c r="X164" s="15"/>
      <c r="Y164" s="15"/>
      <c r="Z164" s="15"/>
    </row>
    <row r="165" ht="12.0" customHeight="1">
      <c r="A165" s="45"/>
      <c r="B165" s="45"/>
      <c r="C165" s="65">
        <v>2.0</v>
      </c>
      <c r="D165" s="45" t="s">
        <v>67</v>
      </c>
      <c r="E165" s="45" t="str">
        <f>IF(AND(F157="Yes",F164&lt;&gt;"Yes"),"Yes","No")</f>
        <v>No</v>
      </c>
      <c r="F165" s="45"/>
      <c r="G165" s="45"/>
      <c r="H165" s="55"/>
      <c r="I165" s="45"/>
      <c r="J165" s="45"/>
      <c r="K165" s="45" t="str">
        <f>IF(AND(F165="Yes",ISBLANK(H165)),"Please enter your comments","")</f>
        <v/>
      </c>
      <c r="L165" s="15"/>
      <c r="M165" s="15"/>
      <c r="N165" s="15"/>
      <c r="O165" s="15"/>
      <c r="P165" s="15"/>
      <c r="Q165" s="15"/>
      <c r="R165" s="15"/>
      <c r="S165" s="15"/>
      <c r="T165" s="15"/>
      <c r="U165" s="15"/>
      <c r="V165" s="15"/>
      <c r="W165" s="15"/>
      <c r="X165" s="15"/>
      <c r="Y165" s="15"/>
      <c r="Z165" s="15"/>
    </row>
    <row r="166" ht="12.0" customHeight="1">
      <c r="A166" s="39">
        <v>5.0</v>
      </c>
      <c r="B166" s="43" t="s">
        <v>478</v>
      </c>
      <c r="C166" s="65">
        <v>1.0</v>
      </c>
      <c r="D166" s="45" t="s">
        <v>682</v>
      </c>
      <c r="E166" s="45" t="str">
        <f>IF(AND(F157="Yes",F167&lt;&gt;"Yes"),"Yes","No")</f>
        <v>No</v>
      </c>
      <c r="F166" s="45"/>
      <c r="G166" s="45" t="str">
        <f>IF(F166="Yes","The application uses standard key management solution like key vault or key store.",IF(OR(F166="No",F166="NA"),"Recommended that the application uses standard key management solution like key vault or key store.",""))</f>
        <v/>
      </c>
      <c r="H166" s="55" t="s">
        <v>46</v>
      </c>
      <c r="I166" s="45"/>
      <c r="J166" s="45" t="str">
        <f>IF(E166="No","Y",IF(F166="Yes","Y","N"))</f>
        <v>Y</v>
      </c>
      <c r="K166" s="45" t="str">
        <f>IF(AND(OR(F166="No",F166="NA"),ISBLANK(H166)),"Please enter your comments","")</f>
        <v/>
      </c>
      <c r="L166" s="15"/>
      <c r="M166" s="15"/>
      <c r="N166" s="15"/>
      <c r="O166" s="15"/>
      <c r="P166" s="15"/>
      <c r="Q166" s="15"/>
      <c r="R166" s="15"/>
      <c r="S166" s="15"/>
      <c r="T166" s="15"/>
      <c r="U166" s="15"/>
      <c r="V166" s="15"/>
      <c r="W166" s="15"/>
      <c r="X166" s="15"/>
      <c r="Y166" s="15"/>
      <c r="Z166" s="15"/>
    </row>
    <row r="167" ht="12.0" customHeight="1">
      <c r="A167" s="45"/>
      <c r="B167" s="45"/>
      <c r="C167" s="65">
        <v>2.0</v>
      </c>
      <c r="D167" s="45" t="s">
        <v>67</v>
      </c>
      <c r="E167" s="45" t="str">
        <f>IF(AND(F157="Yes",F166&lt;&gt;"Yes"),"Yes","No")</f>
        <v>No</v>
      </c>
      <c r="F167" s="45"/>
      <c r="G167" s="45"/>
      <c r="H167" s="45"/>
      <c r="I167" s="45"/>
      <c r="J167" s="45"/>
      <c r="K167" s="45" t="str">
        <f>IF(AND(F167="Yes",ISBLANK(H167)),"Please enter your comments","")</f>
        <v/>
      </c>
      <c r="L167" s="15"/>
      <c r="M167" s="15"/>
      <c r="N167" s="15"/>
      <c r="O167" s="15"/>
      <c r="P167" s="15"/>
      <c r="Q167" s="15"/>
      <c r="R167" s="15"/>
      <c r="S167" s="15"/>
      <c r="T167" s="15"/>
      <c r="U167" s="15"/>
      <c r="V167" s="15"/>
      <c r="W167" s="15"/>
      <c r="X167" s="15"/>
      <c r="Y167" s="15"/>
      <c r="Z167" s="15"/>
    </row>
    <row r="168" ht="12.0" customHeight="1">
      <c r="A168" s="85" t="s">
        <v>683</v>
      </c>
      <c r="B168" s="4"/>
      <c r="C168" s="4"/>
      <c r="D168" s="4"/>
      <c r="E168" s="4"/>
      <c r="F168" s="4"/>
      <c r="G168" s="4"/>
      <c r="H168" s="4"/>
      <c r="I168" s="4"/>
      <c r="J168" s="4"/>
      <c r="K168" s="11"/>
      <c r="L168" s="15"/>
      <c r="M168" s="15"/>
      <c r="N168" s="15"/>
      <c r="O168" s="15"/>
      <c r="P168" s="15"/>
      <c r="Q168" s="15"/>
      <c r="R168" s="15"/>
      <c r="S168" s="15"/>
      <c r="T168" s="15"/>
      <c r="U168" s="15"/>
      <c r="V168" s="15"/>
      <c r="W168" s="15"/>
      <c r="X168" s="15"/>
      <c r="Y168" s="15"/>
      <c r="Z168" s="15"/>
    </row>
    <row r="169" ht="12.0" customHeight="1">
      <c r="A169" s="39">
        <v>1.0</v>
      </c>
      <c r="B169" s="86" t="s">
        <v>480</v>
      </c>
      <c r="C169" s="39">
        <v>1.0</v>
      </c>
      <c r="D169" s="45" t="s">
        <v>684</v>
      </c>
      <c r="E169" s="45" t="s">
        <v>445</v>
      </c>
      <c r="F169" s="45"/>
      <c r="G169" s="45" t="str">
        <f>IF(F169="Yes","Most restrictive permissions are set for software during installations.",IF(OR(F169="No",F169="NA"),"Recommended to set most restrictive permissions for software during installations.",""))</f>
        <v/>
      </c>
      <c r="H169" s="55" t="s">
        <v>46</v>
      </c>
      <c r="I169" s="45"/>
      <c r="J169" s="45" t="str">
        <f t="shared" ref="J169:J171" si="42">IF(F169="Yes","Y","N")</f>
        <v>N</v>
      </c>
      <c r="K169" s="45" t="str">
        <f t="shared" ref="K169:K178" si="43">IF(AND(OR(F169="No",F169="NA"),ISBLANK(H169)),"Please enter your comments","")</f>
        <v/>
      </c>
      <c r="L169" s="15"/>
      <c r="M169" s="15"/>
      <c r="N169" s="15"/>
      <c r="O169" s="15"/>
      <c r="P169" s="15"/>
      <c r="Q169" s="15"/>
      <c r="R169" s="15"/>
      <c r="S169" s="15"/>
      <c r="T169" s="15"/>
      <c r="U169" s="15"/>
      <c r="V169" s="15"/>
      <c r="W169" s="15"/>
      <c r="X169" s="15"/>
      <c r="Y169" s="15"/>
      <c r="Z169" s="15"/>
    </row>
    <row r="170" ht="12.0" customHeight="1">
      <c r="A170" s="39">
        <v>2.0</v>
      </c>
      <c r="B170" s="86" t="s">
        <v>481</v>
      </c>
      <c r="C170" s="39">
        <v>1.0</v>
      </c>
      <c r="D170" s="45" t="s">
        <v>685</v>
      </c>
      <c r="E170" s="45" t="s">
        <v>445</v>
      </c>
      <c r="F170" s="45"/>
      <c r="G170" s="45" t="str">
        <f>IF(F170="Yes","The application determines minimum privilege level required for execution of each software component and operation.",IF(OR(F170="No",F170="NA"),"Recommended to determine minimum privilege level required for execution of each software component and operation",""))</f>
        <v/>
      </c>
      <c r="H170" s="64" t="s">
        <v>686</v>
      </c>
      <c r="I170" s="45"/>
      <c r="J170" s="45" t="str">
        <f t="shared" si="42"/>
        <v>N</v>
      </c>
      <c r="K170" s="45" t="str">
        <f t="shared" si="43"/>
        <v/>
      </c>
      <c r="L170" s="15"/>
      <c r="M170" s="15"/>
      <c r="N170" s="15"/>
      <c r="O170" s="15"/>
      <c r="P170" s="15"/>
      <c r="Q170" s="15"/>
      <c r="R170" s="15"/>
      <c r="S170" s="15"/>
      <c r="T170" s="15"/>
      <c r="U170" s="15"/>
      <c r="V170" s="15"/>
      <c r="W170" s="15"/>
      <c r="X170" s="15"/>
      <c r="Y170" s="15"/>
      <c r="Z170" s="15"/>
    </row>
    <row r="171" ht="12.0" customHeight="1">
      <c r="A171" s="39">
        <v>3.0</v>
      </c>
      <c r="B171" s="86" t="s">
        <v>482</v>
      </c>
      <c r="C171" s="39">
        <v>1.0</v>
      </c>
      <c r="D171" s="45" t="s">
        <v>687</v>
      </c>
      <c r="E171" s="45" t="s">
        <v>445</v>
      </c>
      <c r="F171" s="45"/>
      <c r="G171" s="45" t="str">
        <f>IF(F171="Yes","The application runs as a non-root user.",IF(OR(F171="No",F171="NA"),"Recommended to run the application as a non-root user.",""))</f>
        <v/>
      </c>
      <c r="H171" s="55" t="s">
        <v>46</v>
      </c>
      <c r="I171" s="45"/>
      <c r="J171" s="45" t="str">
        <f t="shared" si="42"/>
        <v>N</v>
      </c>
      <c r="K171" s="45" t="str">
        <f t="shared" si="43"/>
        <v/>
      </c>
      <c r="L171" s="15"/>
      <c r="M171" s="15"/>
      <c r="N171" s="15"/>
      <c r="O171" s="15"/>
      <c r="P171" s="15"/>
      <c r="Q171" s="15"/>
      <c r="R171" s="15"/>
      <c r="S171" s="15"/>
      <c r="T171" s="15"/>
      <c r="U171" s="15"/>
      <c r="V171" s="15"/>
      <c r="W171" s="15"/>
      <c r="X171" s="15"/>
      <c r="Y171" s="15"/>
      <c r="Z171" s="15"/>
    </row>
    <row r="172" ht="12.0" customHeight="1">
      <c r="A172" s="39">
        <v>4.0</v>
      </c>
      <c r="B172" s="86" t="s">
        <v>483</v>
      </c>
      <c r="C172" s="39">
        <v>1.0</v>
      </c>
      <c r="D172" s="45" t="s">
        <v>688</v>
      </c>
      <c r="E172" s="45" t="s">
        <v>445</v>
      </c>
      <c r="F172" s="45"/>
      <c r="G172" s="45" t="str">
        <f>IF(F172="Yes","The application follows a policy that specifies how super user accounts will be managed.",IF(OR(F172="No",F172="NA"),"Recommended that the applicationshould follow a policy that specifies how super user accounts will be managed.",""))</f>
        <v/>
      </c>
      <c r="H172" s="55" t="s">
        <v>46</v>
      </c>
      <c r="I172" s="45"/>
      <c r="J172" s="45" t="str">
        <f>IF(OR(F172="Yes",F172="NA"),"Y","N")</f>
        <v>N</v>
      </c>
      <c r="K172" s="45" t="str">
        <f t="shared" si="43"/>
        <v/>
      </c>
      <c r="L172" s="15"/>
      <c r="M172" s="15"/>
      <c r="N172" s="15"/>
      <c r="O172" s="15"/>
      <c r="P172" s="15"/>
      <c r="Q172" s="15"/>
      <c r="R172" s="15"/>
      <c r="S172" s="15"/>
      <c r="T172" s="15"/>
      <c r="U172" s="15"/>
      <c r="V172" s="15"/>
      <c r="W172" s="15"/>
      <c r="X172" s="15"/>
      <c r="Y172" s="15"/>
      <c r="Z172" s="15"/>
    </row>
    <row r="173" ht="12.0" customHeight="1">
      <c r="A173" s="39">
        <v>5.0</v>
      </c>
      <c r="B173" s="86" t="s">
        <v>484</v>
      </c>
      <c r="C173" s="39">
        <v>1.0</v>
      </c>
      <c r="D173" s="45" t="s">
        <v>689</v>
      </c>
      <c r="E173" s="45" t="s">
        <v>445</v>
      </c>
      <c r="F173" s="45"/>
      <c r="G173" s="45" t="str">
        <f>IF(F173="Yes","The application is deployed in a trusted zone.",IF(OR(F173="No",F173="NA"),"Recommended to deploy the application in a trusted zone.",""))</f>
        <v/>
      </c>
      <c r="H173" s="55" t="s">
        <v>46</v>
      </c>
      <c r="I173" s="45"/>
      <c r="J173" s="45" t="str">
        <f t="shared" ref="J173:J175" si="44">IF(F173="Yes","Y","N")</f>
        <v>N</v>
      </c>
      <c r="K173" s="45" t="str">
        <f t="shared" si="43"/>
        <v/>
      </c>
      <c r="L173" s="15"/>
      <c r="M173" s="15"/>
      <c r="N173" s="15"/>
      <c r="O173" s="15"/>
      <c r="P173" s="15"/>
      <c r="Q173" s="15"/>
      <c r="R173" s="15"/>
      <c r="S173" s="15"/>
      <c r="T173" s="15"/>
      <c r="U173" s="15"/>
      <c r="V173" s="15"/>
      <c r="W173" s="15"/>
      <c r="X173" s="15"/>
      <c r="Y173" s="15"/>
      <c r="Z173" s="15"/>
    </row>
    <row r="174" ht="12.0" customHeight="1">
      <c r="A174" s="39">
        <v>6.0</v>
      </c>
      <c r="B174" s="86" t="s">
        <v>486</v>
      </c>
      <c r="C174" s="39">
        <v>1.0</v>
      </c>
      <c r="D174" s="45" t="s">
        <v>690</v>
      </c>
      <c r="E174" s="45" t="s">
        <v>445</v>
      </c>
      <c r="F174" s="45"/>
      <c r="G174" s="45" t="str">
        <f>IF(F174="Yes","read/write/execute permissions are identified for different resources.",IF(OR(F174="No",F174="NA"),"Recommended to identify different permissions for each resource such as read/write/execute.",""))</f>
        <v/>
      </c>
      <c r="H174" s="64" t="s">
        <v>691</v>
      </c>
      <c r="I174" s="45"/>
      <c r="J174" s="45" t="str">
        <f t="shared" si="44"/>
        <v>N</v>
      </c>
      <c r="K174" s="45" t="str">
        <f t="shared" si="43"/>
        <v/>
      </c>
      <c r="L174" s="15"/>
      <c r="M174" s="15"/>
      <c r="N174" s="15"/>
      <c r="O174" s="15"/>
      <c r="P174" s="15"/>
      <c r="Q174" s="15"/>
      <c r="R174" s="15"/>
      <c r="S174" s="15"/>
      <c r="T174" s="15"/>
      <c r="U174" s="15"/>
      <c r="V174" s="15"/>
      <c r="W174" s="15"/>
      <c r="X174" s="15"/>
      <c r="Y174" s="15"/>
      <c r="Z174" s="15"/>
    </row>
    <row r="175" ht="12.0" customHeight="1">
      <c r="A175" s="39">
        <v>7.0</v>
      </c>
      <c r="B175" s="86" t="s">
        <v>487</v>
      </c>
      <c r="C175" s="39">
        <v>1.0</v>
      </c>
      <c r="D175" s="45" t="s">
        <v>692</v>
      </c>
      <c r="E175" s="45" t="s">
        <v>445</v>
      </c>
      <c r="F175" s="45"/>
      <c r="G175" s="45" t="str">
        <f>IF(F175="Yes","All the privilege management events are logged.",IF(OR(F175="No",F175="NA"),"Recommended to log all privilege management events.",""))</f>
        <v/>
      </c>
      <c r="H175" s="55" t="s">
        <v>46</v>
      </c>
      <c r="I175" s="45"/>
      <c r="J175" s="45" t="str">
        <f t="shared" si="44"/>
        <v>N</v>
      </c>
      <c r="K175" s="45" t="str">
        <f t="shared" si="43"/>
        <v/>
      </c>
      <c r="L175" s="15"/>
      <c r="M175" s="15"/>
      <c r="N175" s="15"/>
      <c r="O175" s="15"/>
      <c r="P175" s="15"/>
      <c r="Q175" s="15"/>
      <c r="R175" s="15"/>
      <c r="S175" s="15"/>
      <c r="T175" s="15"/>
      <c r="U175" s="15"/>
      <c r="V175" s="15"/>
      <c r="W175" s="15"/>
      <c r="X175" s="15"/>
      <c r="Y175" s="15"/>
      <c r="Z175" s="15"/>
    </row>
    <row r="176" ht="12.0" customHeight="1">
      <c r="A176" s="39">
        <v>8.0</v>
      </c>
      <c r="B176" s="86" t="s">
        <v>488</v>
      </c>
      <c r="C176" s="39">
        <v>1.0</v>
      </c>
      <c r="D176" s="52" t="s">
        <v>693</v>
      </c>
      <c r="E176" s="45" t="s">
        <v>445</v>
      </c>
      <c r="F176" s="45"/>
      <c r="G176" s="45" t="str">
        <f>IF(OR(F176="No",F176="NA"),"The application doesnot involve any operation with elevated privileges.","")</f>
        <v/>
      </c>
      <c r="H176" s="55" t="s">
        <v>46</v>
      </c>
      <c r="I176" s="45"/>
      <c r="J176" s="45" t="str">
        <f>IF(F176="Yes",J177,IF(NOT(ISBLANK(F176)),"Y","N"))</f>
        <v>N</v>
      </c>
      <c r="K176" s="45" t="str">
        <f t="shared" si="43"/>
        <v/>
      </c>
      <c r="L176" s="15"/>
      <c r="M176" s="15"/>
      <c r="N176" s="15"/>
      <c r="O176" s="15"/>
      <c r="P176" s="15"/>
      <c r="Q176" s="15"/>
      <c r="R176" s="15"/>
      <c r="S176" s="15"/>
      <c r="T176" s="15"/>
      <c r="U176" s="15"/>
      <c r="V176" s="15"/>
      <c r="W176" s="15"/>
      <c r="X176" s="15"/>
      <c r="Y176" s="15"/>
      <c r="Z176" s="15"/>
    </row>
    <row r="177" ht="12.0" customHeight="1">
      <c r="A177" s="39"/>
      <c r="B177" s="91"/>
      <c r="C177" s="39">
        <v>1.1</v>
      </c>
      <c r="D177" s="45" t="s">
        <v>694</v>
      </c>
      <c r="E177" s="45" t="str">
        <f>IF(F176="Yes","Yes","No")</f>
        <v>No</v>
      </c>
      <c r="F177" s="45"/>
      <c r="G177" s="45" t="str">
        <f>IF(F177="Yes","During operation with elevated privilege, privileges are raised as late as possible and immediately droped once operation is done.",IF(OR(F177="No",F177="NA"),"Recommended to raise privileges as late as possible and immediately drop once operation is done during operation with elevated privilege.",""))</f>
        <v/>
      </c>
      <c r="H177" s="55" t="s">
        <v>46</v>
      </c>
      <c r="I177" s="45"/>
      <c r="J177" s="45" t="str">
        <f>IF(F177="Yes","Y","N")</f>
        <v>N</v>
      </c>
      <c r="K177" s="45" t="str">
        <f t="shared" si="43"/>
        <v/>
      </c>
      <c r="L177" s="15"/>
      <c r="M177" s="15"/>
      <c r="N177" s="15"/>
      <c r="O177" s="15"/>
      <c r="P177" s="15"/>
      <c r="Q177" s="15"/>
      <c r="R177" s="15"/>
      <c r="S177" s="15"/>
      <c r="T177" s="15"/>
      <c r="U177" s="15"/>
      <c r="V177" s="15"/>
      <c r="W177" s="15"/>
      <c r="X177" s="15"/>
      <c r="Y177" s="15"/>
      <c r="Z177" s="15"/>
    </row>
    <row r="178" ht="12.0" customHeight="1">
      <c r="A178" s="39">
        <v>9.0</v>
      </c>
      <c r="B178" s="86" t="s">
        <v>489</v>
      </c>
      <c r="C178" s="39">
        <v>1.0</v>
      </c>
      <c r="D178" s="45" t="s">
        <v>695</v>
      </c>
      <c r="E178" s="45" t="s">
        <v>445</v>
      </c>
      <c r="F178" s="45"/>
      <c r="G178" s="45" t="str">
        <f>IF(F178="Yes","Inventory privileged accounts is done periodically",IF(OR(F178="No",F178="NA"),"Recommended to revise privileged accounts periodically.",""))</f>
        <v/>
      </c>
      <c r="H178" s="55" t="s">
        <v>46</v>
      </c>
      <c r="I178" s="45"/>
      <c r="J178" s="45" t="str">
        <f>IF(OR(F178="Yes",F178="NA"),"Y","N")</f>
        <v>N</v>
      </c>
      <c r="K178" s="45" t="str">
        <f t="shared" si="43"/>
        <v/>
      </c>
      <c r="L178" s="15"/>
      <c r="M178" s="15"/>
      <c r="N178" s="15"/>
      <c r="O178" s="15"/>
      <c r="P178" s="15"/>
      <c r="Q178" s="15"/>
      <c r="R178" s="15"/>
      <c r="S178" s="15"/>
      <c r="T178" s="15"/>
      <c r="U178" s="15"/>
      <c r="V178" s="15"/>
      <c r="W178" s="15"/>
      <c r="X178" s="15"/>
      <c r="Y178" s="15"/>
      <c r="Z178" s="15"/>
    </row>
    <row r="179" ht="12.0" customHeight="1">
      <c r="A179" s="85" t="s">
        <v>696</v>
      </c>
      <c r="B179" s="4"/>
      <c r="C179" s="4"/>
      <c r="D179" s="4"/>
      <c r="E179" s="4"/>
      <c r="F179" s="4"/>
      <c r="G179" s="4"/>
      <c r="H179" s="4"/>
      <c r="I179" s="4"/>
      <c r="J179" s="11"/>
      <c r="K179" s="45"/>
      <c r="L179" s="15"/>
      <c r="M179" s="15"/>
      <c r="N179" s="15"/>
      <c r="O179" s="15"/>
      <c r="P179" s="15"/>
      <c r="Q179" s="15"/>
      <c r="R179" s="15"/>
      <c r="S179" s="15"/>
      <c r="T179" s="15"/>
      <c r="U179" s="15"/>
      <c r="V179" s="15"/>
      <c r="W179" s="15"/>
      <c r="X179" s="15"/>
      <c r="Y179" s="15"/>
      <c r="Z179" s="15"/>
    </row>
    <row r="180" ht="12.0" customHeight="1">
      <c r="A180" s="65">
        <v>1.0</v>
      </c>
      <c r="B180" s="43" t="s">
        <v>697</v>
      </c>
      <c r="C180" s="65">
        <v>1.0</v>
      </c>
      <c r="D180" s="45" t="s">
        <v>698</v>
      </c>
      <c r="E180" s="45" t="s">
        <v>445</v>
      </c>
      <c r="F180" s="45"/>
      <c r="G180" s="45" t="str">
        <f>IF(F180="Yes","All the variables are initialised with accepted default values during declartion.",IF(OR(F180="No",F180="NA"),"Recommended to intialise all the variables with accepted default values during declaration.",""))</f>
        <v/>
      </c>
      <c r="H180" s="64" t="s">
        <v>699</v>
      </c>
      <c r="I180" s="45"/>
      <c r="J180" s="45" t="str">
        <f t="shared" ref="J180:J181" si="45">IF(F180="Yes","Y","N")</f>
        <v>N</v>
      </c>
      <c r="K180" s="45" t="str">
        <f t="shared" ref="K180:K181" si="46">IF(AND(OR(F180="No",F180="NA"),ISBLANK(H180)),"Please enter your comments","")</f>
        <v/>
      </c>
      <c r="L180" s="15"/>
      <c r="M180" s="15"/>
      <c r="N180" s="15"/>
      <c r="O180" s="15"/>
      <c r="P180" s="15"/>
      <c r="Q180" s="15"/>
      <c r="R180" s="15"/>
      <c r="S180" s="15"/>
      <c r="T180" s="15"/>
      <c r="U180" s="15"/>
      <c r="V180" s="15"/>
      <c r="W180" s="15"/>
      <c r="X180" s="15"/>
      <c r="Y180" s="15"/>
      <c r="Z180" s="15"/>
    </row>
    <row r="181" ht="12.0" customHeight="1">
      <c r="A181" s="65">
        <v>2.0</v>
      </c>
      <c r="B181" s="43" t="s">
        <v>493</v>
      </c>
      <c r="C181" s="65">
        <v>1.0</v>
      </c>
      <c r="D181" s="45" t="s">
        <v>700</v>
      </c>
      <c r="E181" s="45" t="s">
        <v>445</v>
      </c>
      <c r="F181" s="45"/>
      <c r="G181" s="45" t="str">
        <f>IF(F181="Yes","All the parameters set false as default.",IF(OR(F181="No",F181="NA"),"Recommended to set all the parameters to false as default.",""))</f>
        <v/>
      </c>
      <c r="H181" s="55" t="s">
        <v>46</v>
      </c>
      <c r="I181" s="45"/>
      <c r="J181" s="45" t="str">
        <f t="shared" si="45"/>
        <v>N</v>
      </c>
      <c r="K181" s="45" t="str">
        <f t="shared" si="46"/>
        <v/>
      </c>
      <c r="L181" s="15"/>
      <c r="M181" s="15"/>
      <c r="N181" s="15"/>
      <c r="O181" s="15"/>
      <c r="P181" s="15"/>
      <c r="Q181" s="15"/>
      <c r="R181" s="15"/>
      <c r="S181" s="15"/>
      <c r="T181" s="15"/>
      <c r="U181" s="15"/>
      <c r="V181" s="15"/>
      <c r="W181" s="15"/>
      <c r="X181" s="15"/>
      <c r="Y181" s="15"/>
      <c r="Z181" s="15"/>
    </row>
    <row r="182" ht="12.0" customHeight="1">
      <c r="A182" s="65">
        <v>3.0</v>
      </c>
      <c r="B182" s="43" t="s">
        <v>701</v>
      </c>
      <c r="C182" s="65">
        <v>1.0</v>
      </c>
      <c r="D182" s="45" t="s">
        <v>702</v>
      </c>
      <c r="E182" s="45" t="s">
        <v>445</v>
      </c>
      <c r="F182" s="45"/>
      <c r="G182" s="45" t="str">
        <f>IF(F182="Yes","Recommended to validate user input before assigning it to a variable.",IF(OR(F182="No",F182="NA"),"The application does not take use input as it is to initialise a variable.",""))</f>
        <v/>
      </c>
      <c r="H182" s="64" t="s">
        <v>703</v>
      </c>
      <c r="I182" s="45"/>
      <c r="J182" s="45" t="str">
        <f>IF(F182="Yes","N",IF(NOT(ISBLANK(F182)),"Y","N"))</f>
        <v>N</v>
      </c>
      <c r="K182" s="45" t="str">
        <f>IF(AND(F182="Yes",ISBLANK(H182)),"Please enter your comments","")</f>
        <v/>
      </c>
      <c r="L182" s="15"/>
      <c r="M182" s="15"/>
      <c r="N182" s="15"/>
      <c r="O182" s="15"/>
      <c r="P182" s="15"/>
      <c r="Q182" s="15"/>
      <c r="R182" s="15"/>
      <c r="S182" s="15"/>
      <c r="T182" s="15"/>
      <c r="U182" s="15"/>
      <c r="V182" s="15"/>
      <c r="W182" s="15"/>
      <c r="X182" s="15"/>
      <c r="Y182" s="15"/>
      <c r="Z182" s="15"/>
    </row>
    <row r="183" ht="12.0" customHeight="1">
      <c r="A183" s="65">
        <v>4.0</v>
      </c>
      <c r="B183" s="43" t="s">
        <v>704</v>
      </c>
      <c r="C183" s="65">
        <v>1.0</v>
      </c>
      <c r="D183" s="45" t="s">
        <v>705</v>
      </c>
      <c r="E183" s="45" t="s">
        <v>445</v>
      </c>
      <c r="F183" s="45"/>
      <c r="G183" s="45" t="str">
        <f>IF(F183="Yes","The application does not perform any complex calculations during initialization.",IF(OR(F183="No",F183="NA"),"Recommended not to perform any such complex calculations after initialization.",""))</f>
        <v/>
      </c>
      <c r="H183" s="64" t="s">
        <v>706</v>
      </c>
      <c r="I183" s="45"/>
      <c r="J183" s="45" t="str">
        <f t="shared" ref="J183:J184" si="47">IF(F183="Yes","Y","N")</f>
        <v>N</v>
      </c>
      <c r="K183" s="45" t="str">
        <f t="shared" ref="K183:K186" si="48">IF(AND(OR(F183="No",F183="NA"),ISBLANK(H183)),"Please enter your comments","")</f>
        <v/>
      </c>
      <c r="L183" s="15"/>
      <c r="M183" s="15"/>
      <c r="N183" s="15"/>
      <c r="O183" s="15"/>
      <c r="P183" s="15"/>
      <c r="Q183" s="15"/>
      <c r="R183" s="15"/>
      <c r="S183" s="15"/>
      <c r="T183" s="15"/>
      <c r="U183" s="15"/>
      <c r="V183" s="15"/>
      <c r="W183" s="15"/>
      <c r="X183" s="15"/>
      <c r="Y183" s="15"/>
      <c r="Z183" s="15"/>
    </row>
    <row r="184" ht="12.0" customHeight="1">
      <c r="A184" s="65">
        <v>5.0</v>
      </c>
      <c r="B184" s="43" t="s">
        <v>497</v>
      </c>
      <c r="C184" s="65">
        <v>1.0</v>
      </c>
      <c r="D184" s="45" t="s">
        <v>707</v>
      </c>
      <c r="E184" s="45" t="s">
        <v>445</v>
      </c>
      <c r="F184" s="45"/>
      <c r="G184" s="45" t="str">
        <f>IF(F184="Yes","All resources released when they are no longer required.",IF(OR(F184="No",F184="NA"),"Recommended to release all resources when they are no longer required.",""))</f>
        <v/>
      </c>
      <c r="H184" s="64" t="s">
        <v>708</v>
      </c>
      <c r="I184" s="45"/>
      <c r="J184" s="45" t="str">
        <f t="shared" si="47"/>
        <v>N</v>
      </c>
      <c r="K184" s="45" t="str">
        <f t="shared" si="48"/>
        <v/>
      </c>
      <c r="L184" s="15"/>
      <c r="M184" s="15"/>
      <c r="N184" s="15"/>
      <c r="O184" s="15"/>
      <c r="P184" s="15"/>
      <c r="Q184" s="15"/>
      <c r="R184" s="15"/>
      <c r="S184" s="15"/>
      <c r="T184" s="15"/>
      <c r="U184" s="15"/>
      <c r="V184" s="15"/>
      <c r="W184" s="15"/>
      <c r="X184" s="15"/>
      <c r="Y184" s="15"/>
      <c r="Z184" s="15"/>
    </row>
    <row r="185" ht="12.0" customHeight="1">
      <c r="A185" s="65">
        <v>6.0</v>
      </c>
      <c r="B185" s="43" t="s">
        <v>498</v>
      </c>
      <c r="C185" s="65">
        <v>1.0</v>
      </c>
      <c r="D185" s="45" t="str">
        <f>IF(OR('Asset Info'!B8="Java",'Asset Info'!B8="Python"),"NA","Does the application use any technology for garbage collection?")</f>
        <v>Does the application use any technology for garbage collection?</v>
      </c>
      <c r="E185" s="45" t="str">
        <f>IF(OR('Asset Info'!B8="Java",'Asset Info'!B8="Python"),"No","Yes")</f>
        <v>Yes</v>
      </c>
      <c r="F185" s="45"/>
      <c r="G185" s="45" t="str">
        <f>IF(E185="No","The application uses java/python which handles grabage collection.",IF(F185="Yes","The application handles grabage collection.",IF(OR(F184="No",F184="NA"),"Recommended to use technologies that perform automatic garbage collection.","")))</f>
        <v/>
      </c>
      <c r="H185" s="64" t="s">
        <v>709</v>
      </c>
      <c r="I185" s="45"/>
      <c r="J185" s="45" t="str">
        <f>IF(OR('Asset Info'!B8="Java",'Asset Info'!B8="Python"),"Y",IF(F185="Yes","Y","N"))</f>
        <v>N</v>
      </c>
      <c r="K185" s="45" t="str">
        <f t="shared" si="48"/>
        <v/>
      </c>
      <c r="L185" s="15"/>
      <c r="M185" s="15"/>
      <c r="N185" s="15"/>
      <c r="O185" s="15"/>
      <c r="P185" s="15"/>
      <c r="Q185" s="15"/>
      <c r="R185" s="15"/>
      <c r="S185" s="15"/>
      <c r="T185" s="15"/>
      <c r="U185" s="15"/>
      <c r="V185" s="15"/>
      <c r="W185" s="15"/>
      <c r="X185" s="15"/>
      <c r="Y185" s="15"/>
      <c r="Z185" s="15"/>
    </row>
    <row r="186" ht="12.0" customHeight="1">
      <c r="A186" s="39">
        <v>7.0</v>
      </c>
      <c r="B186" s="43" t="s">
        <v>500</v>
      </c>
      <c r="C186" s="39">
        <v>1.0</v>
      </c>
      <c r="D186" s="83" t="s">
        <v>710</v>
      </c>
      <c r="E186" s="45" t="str">
        <f>IF(OR('Asset Info'!B8="Java",'Asset Info'!B8="Python"),"Yes","No")</f>
        <v>No</v>
      </c>
      <c r="F186" s="45"/>
      <c r="G186" s="45" t="str">
        <f>IF(F186="Yes","All objects are nullified post release.",IF(OR(F186="No",F186="NA"),"Recommended to nullify objects post release.",""))</f>
        <v/>
      </c>
      <c r="H186" s="55" t="s">
        <v>46</v>
      </c>
      <c r="I186" s="45"/>
      <c r="J186" s="45" t="str">
        <f>IF(F186="Yes","Y","N")</f>
        <v>N</v>
      </c>
      <c r="K186" s="45" t="str">
        <f t="shared" si="48"/>
        <v/>
      </c>
      <c r="L186" s="15"/>
      <c r="M186" s="15"/>
      <c r="N186" s="15"/>
      <c r="O186" s="15"/>
      <c r="P186" s="15"/>
      <c r="Q186" s="15"/>
      <c r="R186" s="15"/>
      <c r="S186" s="15"/>
      <c r="T186" s="15"/>
      <c r="U186" s="15"/>
      <c r="V186" s="15"/>
      <c r="W186" s="15"/>
      <c r="X186" s="15"/>
      <c r="Y186" s="15"/>
      <c r="Z186" s="15"/>
    </row>
    <row r="187" ht="12.0" customHeight="1">
      <c r="A187" s="39"/>
      <c r="B187" s="45"/>
      <c r="C187" s="39">
        <v>2.0</v>
      </c>
      <c r="D187" s="45" t="s">
        <v>711</v>
      </c>
      <c r="E187" s="45" t="str">
        <f>IF(AND('Asset Info'!B8&lt;&gt;"Java",'Asset Info'!B8&lt;&gt;"Python"),"Yes","No")</f>
        <v>Yes</v>
      </c>
      <c r="F187" s="45"/>
      <c r="G187" s="45" t="str">
        <f>IF(F187="Yes","",IF(OR(F187="No",F187="NA"),"No pointers are used.",""))</f>
        <v/>
      </c>
      <c r="H187" s="55" t="s">
        <v>46</v>
      </c>
      <c r="I187" s="45"/>
      <c r="J187" s="45" t="str">
        <f>IF(F187="Yes",J188,IF(NOT(ISBLANK(F187)),"Y","N"))</f>
        <v>N</v>
      </c>
      <c r="K187" s="45"/>
      <c r="L187" s="15"/>
      <c r="M187" s="15"/>
      <c r="N187" s="15"/>
      <c r="O187" s="15"/>
      <c r="P187" s="15"/>
      <c r="Q187" s="15"/>
      <c r="R187" s="15"/>
      <c r="S187" s="15"/>
      <c r="T187" s="15"/>
      <c r="U187" s="15"/>
      <c r="V187" s="15"/>
      <c r="W187" s="15"/>
      <c r="X187" s="15"/>
      <c r="Y187" s="15"/>
      <c r="Z187" s="15"/>
    </row>
    <row r="188" ht="12.0" customHeight="1">
      <c r="A188" s="39"/>
      <c r="B188" s="45"/>
      <c r="C188" s="39">
        <v>2.1</v>
      </c>
      <c r="D188" s="45" t="s">
        <v>712</v>
      </c>
      <c r="E188" s="45" t="str">
        <f>IF(F187="Yes","Yes","No")</f>
        <v>No</v>
      </c>
      <c r="F188" s="45"/>
      <c r="G188" s="45" t="str">
        <f>IF(F188="Yes","All pointers are set to NULL post release.",IF(OR(F188="No",F188="NA"),"Recommended to set all pointers to NULL post release.",""))</f>
        <v/>
      </c>
      <c r="H188" s="55" t="s">
        <v>46</v>
      </c>
      <c r="I188" s="45"/>
      <c r="J188" s="45" t="str">
        <f>IF(F188="Yes","Y","N")</f>
        <v>N</v>
      </c>
      <c r="K188" s="45" t="str">
        <f>IF(AND(OR(F188="No",F188="NA"),ISBLANK(H188)),"Please enter your comments","")</f>
        <v/>
      </c>
      <c r="L188" s="15"/>
      <c r="M188" s="15"/>
      <c r="N188" s="15"/>
      <c r="O188" s="15"/>
      <c r="P188" s="15"/>
      <c r="Q188" s="15"/>
      <c r="R188" s="15"/>
      <c r="S188" s="15"/>
      <c r="T188" s="15"/>
      <c r="U188" s="15"/>
      <c r="V188" s="15"/>
      <c r="W188" s="15"/>
      <c r="X188" s="15"/>
      <c r="Y188" s="15"/>
      <c r="Z188" s="15"/>
    </row>
    <row r="189" ht="12.0" customHeight="1">
      <c r="A189" s="39">
        <v>8.0</v>
      </c>
      <c r="B189" s="43" t="s">
        <v>713</v>
      </c>
      <c r="C189" s="39">
        <v>1.0</v>
      </c>
      <c r="D189" s="45" t="s">
        <v>714</v>
      </c>
      <c r="E189" s="45" t="s">
        <v>445</v>
      </c>
      <c r="F189" s="45"/>
      <c r="G189" s="45" t="str">
        <f>IF(F189="Yes","Reccomended to not use any such variables.",IF(OR(F189="No",F189="NA"),"The application doesnot use any Global, Public or static variables.",""))</f>
        <v/>
      </c>
      <c r="H189" s="64" t="s">
        <v>715</v>
      </c>
      <c r="I189" s="45"/>
      <c r="J189" s="45" t="str">
        <f>IF(OR(F189="No",F189="NA"),"Y","N")</f>
        <v>N</v>
      </c>
      <c r="K189" s="45" t="str">
        <f>IF(AND(F189="Yes",ISBLANK(H189)),"Please enter your comments","")</f>
        <v/>
      </c>
      <c r="L189" s="15"/>
      <c r="M189" s="15"/>
      <c r="N189" s="15"/>
      <c r="O189" s="15"/>
      <c r="P189" s="15"/>
      <c r="Q189" s="15"/>
      <c r="R189" s="15"/>
      <c r="S189" s="15"/>
      <c r="T189" s="15"/>
      <c r="U189" s="15"/>
      <c r="V189" s="15"/>
      <c r="W189" s="15"/>
      <c r="X189" s="15"/>
      <c r="Y189" s="15"/>
      <c r="Z189" s="15"/>
    </row>
    <row r="190" ht="12.0" customHeight="1">
      <c r="A190" s="39">
        <v>9.0</v>
      </c>
      <c r="B190" s="43" t="s">
        <v>716</v>
      </c>
      <c r="C190" s="39">
        <v>1.0</v>
      </c>
      <c r="D190" s="45" t="s">
        <v>717</v>
      </c>
      <c r="E190" s="45" t="s">
        <v>445</v>
      </c>
      <c r="F190" s="45"/>
      <c r="G190" s="45" t="str">
        <f>IF(F190="Yes","",IF(OR(F190="No",F190="NA"),"It is not a multithreading application.",""))</f>
        <v/>
      </c>
      <c r="H190" s="55" t="s">
        <v>46</v>
      </c>
      <c r="I190" s="45"/>
      <c r="J190" s="45" t="str">
        <f>IF(F190="Yes",J191,IF(NOT(ISBLANK(F190)),"Y","N"))</f>
        <v>N</v>
      </c>
      <c r="K190" s="45"/>
      <c r="L190" s="15"/>
      <c r="M190" s="15"/>
      <c r="N190" s="15"/>
      <c r="O190" s="15"/>
      <c r="P190" s="15"/>
      <c r="Q190" s="15"/>
      <c r="R190" s="15"/>
      <c r="S190" s="15"/>
      <c r="T190" s="15"/>
      <c r="U190" s="15"/>
      <c r="V190" s="15"/>
      <c r="W190" s="15"/>
      <c r="X190" s="15"/>
      <c r="Y190" s="15"/>
      <c r="Z190" s="15"/>
    </row>
    <row r="191" ht="12.0" customHeight="1">
      <c r="A191" s="39"/>
      <c r="B191" s="45"/>
      <c r="C191" s="39">
        <v>1.1</v>
      </c>
      <c r="D191" s="45" t="s">
        <v>718</v>
      </c>
      <c r="E191" s="45" t="str">
        <f>IF(F190="Yes","Yes","No")</f>
        <v>No</v>
      </c>
      <c r="F191" s="45"/>
      <c r="G191" s="45" t="str">
        <f>IF(F191="Yes","The application uses synchronization primitives for multithreading.",IF(OR(F191="No",F191="NA"),"Recommended to use snychronization primitives.",""))</f>
        <v/>
      </c>
      <c r="H191" s="64" t="s">
        <v>719</v>
      </c>
      <c r="I191" s="45"/>
      <c r="J191" s="45" t="str">
        <f>IF(F191="Yes","Y","N")</f>
        <v>N</v>
      </c>
      <c r="K191" s="45" t="str">
        <f>IF(AND(OR(F191="No",F191="NA"),ISBLANK(H191)),"Please enter your comments","")</f>
        <v/>
      </c>
      <c r="L191" s="15"/>
      <c r="M191" s="15"/>
      <c r="N191" s="15"/>
      <c r="O191" s="15"/>
      <c r="P191" s="15"/>
      <c r="Q191" s="15"/>
      <c r="R191" s="15"/>
      <c r="S191" s="15"/>
      <c r="T191" s="15"/>
      <c r="U191" s="15"/>
      <c r="V191" s="15"/>
      <c r="W191" s="15"/>
      <c r="X191" s="15"/>
      <c r="Y191" s="15"/>
      <c r="Z191" s="15"/>
    </row>
    <row r="192" ht="12.0" customHeight="1">
      <c r="A192" s="39">
        <v>10.0</v>
      </c>
      <c r="B192" s="43" t="s">
        <v>505</v>
      </c>
      <c r="C192" s="39">
        <v>1.0</v>
      </c>
      <c r="D192" s="45" t="s">
        <v>720</v>
      </c>
      <c r="E192" s="45" t="str">
        <f>IF(F190="Yes","Yes","No")</f>
        <v>No</v>
      </c>
      <c r="F192" s="45"/>
      <c r="G192" s="45" t="str">
        <f>IF(F192="Yes","The application uses thresd safe functions.",IF(OR(F192="No",F192="NA"),"Recommended to use thread-safe functions.",""))</f>
        <v/>
      </c>
      <c r="H192" s="55" t="s">
        <v>46</v>
      </c>
      <c r="I192" s="45"/>
      <c r="J192" s="45" t="str">
        <f>IF(E192="No","Y",IF(OR(F190="No",F190="NA"),"Y",IF(F192="Yes","Y","N")))</f>
        <v>Y</v>
      </c>
      <c r="K192" s="45"/>
      <c r="L192" s="15"/>
      <c r="M192" s="15"/>
      <c r="N192" s="15"/>
      <c r="O192" s="15"/>
      <c r="P192" s="15"/>
      <c r="Q192" s="15"/>
      <c r="R192" s="15"/>
      <c r="S192" s="15"/>
      <c r="T192" s="15"/>
      <c r="U192" s="15"/>
      <c r="V192" s="15"/>
      <c r="W192" s="15"/>
      <c r="X192" s="15"/>
      <c r="Y192" s="15"/>
      <c r="Z192" s="15"/>
    </row>
    <row r="193" ht="12.0" customHeight="1">
      <c r="A193" s="39">
        <v>11.0</v>
      </c>
      <c r="B193" s="43" t="s">
        <v>507</v>
      </c>
      <c r="C193" s="39">
        <v>1.0</v>
      </c>
      <c r="D193" s="45" t="s">
        <v>721</v>
      </c>
      <c r="E193" s="45" t="s">
        <v>445</v>
      </c>
      <c r="F193" s="45"/>
      <c r="G193" s="45" t="str">
        <f>IF(F193="Yes","The application is tested for large or infinite loops.",IF(OR(F193="No",F193="NA"),"Recommended to check for any such possibilities.",""))</f>
        <v/>
      </c>
      <c r="H193" s="64" t="s">
        <v>722</v>
      </c>
      <c r="I193" s="45"/>
      <c r="J193" s="45" t="str">
        <f t="shared" ref="J193:J194" si="49">IF(F193="Yes","Y","N")</f>
        <v>N</v>
      </c>
      <c r="K193" s="45" t="str">
        <f t="shared" ref="K193:K196" si="50">IF(AND(OR(F193="No",F193="NA"),ISBLANK(H193)),"Please enter your comments","")</f>
        <v/>
      </c>
      <c r="L193" s="15"/>
      <c r="M193" s="15"/>
      <c r="N193" s="15"/>
      <c r="O193" s="15"/>
      <c r="P193" s="15"/>
      <c r="Q193" s="15"/>
      <c r="R193" s="15"/>
      <c r="S193" s="15"/>
      <c r="T193" s="15"/>
      <c r="U193" s="15"/>
      <c r="V193" s="15"/>
      <c r="W193" s="15"/>
      <c r="X193" s="15"/>
      <c r="Y193" s="15"/>
      <c r="Z193" s="15"/>
    </row>
    <row r="194" ht="12.0" customHeight="1">
      <c r="A194" s="39">
        <v>12.0</v>
      </c>
      <c r="B194" s="43" t="s">
        <v>723</v>
      </c>
      <c r="C194" s="39">
        <v>1.0</v>
      </c>
      <c r="D194" s="45" t="s">
        <v>724</v>
      </c>
      <c r="E194" s="45" t="s">
        <v>445</v>
      </c>
      <c r="F194" s="45"/>
      <c r="G194" s="45" t="str">
        <f>IF(F194="Yes","The application undergoes SAST and code walkthroughs regularly.",IF(OR(F194="No",F194="NA"),"Recommended to undergo SAST and code walthroughs.",""))</f>
        <v/>
      </c>
      <c r="H194" s="55" t="s">
        <v>46</v>
      </c>
      <c r="I194" s="45"/>
      <c r="J194" s="45" t="str">
        <f t="shared" si="49"/>
        <v>N</v>
      </c>
      <c r="K194" s="45" t="str">
        <f t="shared" si="50"/>
        <v/>
      </c>
      <c r="L194" s="15"/>
      <c r="M194" s="15"/>
      <c r="N194" s="15"/>
      <c r="O194" s="15"/>
      <c r="P194" s="15"/>
      <c r="Q194" s="15"/>
      <c r="R194" s="15"/>
      <c r="S194" s="15"/>
      <c r="T194" s="15"/>
      <c r="U194" s="15"/>
      <c r="V194" s="15"/>
      <c r="W194" s="15"/>
      <c r="X194" s="15"/>
      <c r="Y194" s="15"/>
      <c r="Z194" s="15"/>
    </row>
    <row r="195" ht="12.0" customHeight="1">
      <c r="A195" s="92">
        <v>13.0</v>
      </c>
      <c r="B195" s="93" t="s">
        <v>725</v>
      </c>
      <c r="C195" s="92">
        <v>1.0</v>
      </c>
      <c r="D195" s="94" t="s">
        <v>726</v>
      </c>
      <c r="E195" s="94" t="str">
        <f>IF(F190="Yes","Yes","No")</f>
        <v>No</v>
      </c>
      <c r="F195" s="45"/>
      <c r="G195" s="94" t="str">
        <f>IF(F195="Yes","Compiler optimisation is avoided.",IF(OR(F195="No",F195="NA"),"Recommended to avoid compiler optimisation.",""))</f>
        <v/>
      </c>
      <c r="H195" s="95" t="s">
        <v>46</v>
      </c>
      <c r="I195" s="94"/>
      <c r="J195" s="94" t="str">
        <f>IF(E195="No","Y",IF(OR(F190="No",F190="NA"),"Y",IF(F195="Yes","Y","N")))</f>
        <v>Y</v>
      </c>
      <c r="K195" s="94" t="str">
        <f t="shared" si="50"/>
        <v/>
      </c>
      <c r="L195" s="15"/>
      <c r="M195" s="15"/>
      <c r="N195" s="15"/>
      <c r="O195" s="15"/>
      <c r="P195" s="15"/>
      <c r="Q195" s="15"/>
      <c r="R195" s="15"/>
      <c r="S195" s="15"/>
      <c r="T195" s="15"/>
      <c r="U195" s="15"/>
      <c r="V195" s="15"/>
      <c r="W195" s="15"/>
      <c r="X195" s="15"/>
      <c r="Y195" s="15"/>
      <c r="Z195" s="15"/>
    </row>
    <row r="196" ht="12.0" customHeight="1">
      <c r="A196" s="39">
        <v>14.0</v>
      </c>
      <c r="B196" s="43" t="s">
        <v>512</v>
      </c>
      <c r="C196" s="39">
        <v>1.0</v>
      </c>
      <c r="D196" s="45" t="s">
        <v>727</v>
      </c>
      <c r="E196" s="45" t="str">
        <f>IF('Asset Info'!B8="Python","No","Yes")</f>
        <v>Yes</v>
      </c>
      <c r="F196" s="45"/>
      <c r="G196" s="45" t="str">
        <f>IF(F196="Yes","The application takes care of compiler warnings.",IF(OR(F196="No",F196="NA"),"Recommended to solve compiler warnings.",""))</f>
        <v/>
      </c>
      <c r="H196" s="64" t="s">
        <v>728</v>
      </c>
      <c r="I196" s="45"/>
      <c r="J196" s="45" t="str">
        <f>IF(E196="No","Y",IF(F196="Yes","Y","N"))</f>
        <v>N</v>
      </c>
      <c r="K196" s="45" t="str">
        <f t="shared" si="50"/>
        <v/>
      </c>
      <c r="L196" s="15"/>
      <c r="M196" s="15"/>
      <c r="N196" s="15"/>
      <c r="O196" s="15"/>
      <c r="P196" s="15"/>
      <c r="Q196" s="15"/>
      <c r="R196" s="15"/>
      <c r="S196" s="15"/>
      <c r="T196" s="15"/>
      <c r="U196" s="15"/>
      <c r="V196" s="15"/>
      <c r="W196" s="15"/>
      <c r="X196" s="15"/>
      <c r="Y196" s="15"/>
      <c r="Z196" s="15"/>
    </row>
    <row r="197" ht="12.0"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ht="12.0"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ht="12.0"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ht="12.0"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ht="12.0"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ht="12.0"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ht="12.0"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ht="12.0"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ht="12.0"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ht="12.0"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ht="12.0"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ht="12.0"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ht="12.0"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ht="12.0"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ht="12.0"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ht="12.0"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ht="12.0"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ht="12.0"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ht="12.0"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ht="12.0"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ht="12.0"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ht="12.0"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ht="12.0"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ht="12.0"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ht="12.0"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ht="12.0"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ht="12.0"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ht="12.0"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ht="12.0"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ht="12.0"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ht="12.0"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ht="12.0"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ht="12.0"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ht="12.0"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ht="12.0"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ht="12.0"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ht="12.0"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ht="12.0"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ht="12.0"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ht="12.0"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ht="12.0"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ht="12.0"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ht="12.0"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ht="12.0"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ht="12.0"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ht="12.0"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ht="12.0"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ht="12.0"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ht="12.0"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ht="12.0"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ht="12.0"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ht="12.0"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ht="12.0"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ht="12.0"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ht="12.0"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ht="12.0"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ht="12.0"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ht="12.0"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ht="12.0"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ht="12.0"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ht="12.0"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ht="12.0"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ht="12.0"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ht="12.0"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ht="12.0"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ht="12.0"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ht="12.0"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ht="12.0"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ht="12.0"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ht="12.0"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ht="12.0"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ht="12.0"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ht="12.0"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ht="12.0"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ht="12.0"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ht="12.0"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ht="12.0"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ht="12.0"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ht="12.0"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ht="12.0"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ht="12.0"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ht="12.0"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ht="12.0"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ht="12.0"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ht="12.0"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ht="12.0"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ht="12.0"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ht="12.0"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ht="12.0"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ht="12.0"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ht="12.0"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ht="12.0"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ht="12.0"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ht="12.0"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ht="12.0"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ht="12.0"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ht="12.0"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ht="12.0"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ht="12.0"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ht="12.0"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ht="12.0"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ht="12.0"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ht="12.0"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ht="12.0"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ht="12.0"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ht="12.0"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ht="12.0"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ht="12.0"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ht="12.0"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ht="12.0"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ht="12.0"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ht="12.0"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ht="12.0"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ht="12.0"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ht="12.0"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ht="12.0"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ht="12.0"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ht="12.0"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ht="12.0"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ht="12.0"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ht="12.0"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ht="12.0"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ht="12.0"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ht="12.0"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ht="12.0"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ht="12.0"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ht="12.0"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ht="12.0"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ht="12.0"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ht="12.0"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ht="12.0"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ht="12.0"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ht="12.0"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ht="12.0"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ht="12.0"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ht="12.0"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ht="12.0"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ht="12.0"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ht="12.0"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ht="12.0"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ht="12.0"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ht="12.0"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ht="12.0"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ht="12.0"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ht="12.0"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ht="12.0"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ht="12.0"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ht="12.0"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ht="12.0"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ht="12.0"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ht="12.0"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ht="12.0"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ht="12.0"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ht="12.0"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ht="12.0"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ht="12.0"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ht="12.0"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ht="12.0"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ht="12.0"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ht="12.0"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ht="12.0"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ht="12.0"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ht="12.0"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ht="12.0"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ht="12.0"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ht="12.0"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ht="12.0"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ht="12.0"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ht="12.0"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ht="12.0"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ht="12.0"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ht="12.0"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ht="12.0"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ht="12.0"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ht="12.0"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ht="12.0"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ht="12.0"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ht="12.0"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ht="12.0"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ht="12.0"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ht="12.0"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ht="12.0"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ht="12.0"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ht="12.0"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ht="12.0"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ht="12.0"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ht="12.0"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ht="12.0"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ht="12.0"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ht="12.0"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ht="12.0"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ht="12.0"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ht="12.0"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ht="12.0"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ht="12.0"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ht="12.0"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ht="12.0"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ht="12.0"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ht="12.0"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ht="12.0"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ht="12.0"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ht="12.0"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ht="12.0"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ht="12.0"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ht="12.0"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ht="12.0"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ht="12.0"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ht="12.0"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ht="12.0"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ht="12.0"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ht="12.0"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ht="12.0"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ht="12.0"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ht="12.0"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ht="12.0"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ht="12.0"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ht="12.0"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ht="12.0"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ht="12.0"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ht="12.0"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ht="12.0"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ht="12.0"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ht="12.0"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ht="12.0"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ht="12.0"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ht="12.0"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ht="12.0"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ht="12.0"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ht="12.0"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ht="12.0"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ht="12.0"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ht="12.0"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ht="12.0"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ht="12.0"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ht="12.0"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ht="12.0"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ht="12.0"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ht="12.0"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ht="12.0"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ht="12.0"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ht="12.0"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ht="12.0"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ht="12.0"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ht="12.0"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ht="12.0"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ht="12.0"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ht="12.0"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ht="12.0"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ht="12.0"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ht="12.0"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ht="12.0"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ht="12.0"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ht="12.0"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ht="12.0"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ht="12.0"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ht="12.0"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ht="12.0"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ht="12.0"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ht="12.0"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ht="12.0"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ht="12.0"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ht="12.0"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ht="12.0"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ht="12.0"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ht="12.0"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ht="12.0"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ht="12.0"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ht="12.0"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ht="12.0"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ht="12.0"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ht="12.0"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ht="12.0"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ht="12.0"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ht="12.0"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ht="12.0"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ht="12.0"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ht="12.0"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ht="12.0"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ht="12.0"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ht="12.0"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ht="12.0"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ht="12.0"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ht="12.0"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ht="12.0"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ht="12.0"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ht="12.0"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ht="12.0"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ht="12.0"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ht="12.0"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ht="12.0"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ht="12.0"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ht="12.0"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ht="12.0"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ht="12.0"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ht="12.0"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ht="12.0"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ht="12.0"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ht="12.0"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ht="12.0"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ht="12.0"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ht="12.0"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ht="12.0"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ht="12.0"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ht="12.0"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ht="12.0"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ht="12.0"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ht="12.0"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ht="12.0"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ht="12.0"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ht="12.0"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ht="12.0"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ht="12.0"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ht="12.0"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ht="12.0"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ht="12.0"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ht="12.0"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ht="12.0"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ht="12.0"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ht="12.0"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ht="12.0"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ht="12.0"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ht="12.0"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ht="12.0"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ht="12.0"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ht="12.0"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ht="12.0"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ht="12.0"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ht="12.0"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ht="12.0"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ht="12.0"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ht="12.0"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ht="12.0"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ht="12.0"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ht="12.0"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ht="12.0"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ht="12.0"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ht="12.0"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ht="12.0"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ht="12.0"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ht="12.0"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ht="12.0"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ht="12.0"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ht="12.0"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ht="12.0"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ht="12.0"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ht="12.0"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ht="12.0"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ht="12.0"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ht="12.0"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ht="12.0"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ht="12.0"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ht="12.0"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ht="12.0"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ht="12.0"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ht="12.0"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ht="12.0"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ht="12.0"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ht="12.0"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ht="12.0"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ht="12.0"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ht="12.0"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ht="12.0"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ht="12.0"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ht="12.0"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ht="12.0"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ht="12.0"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ht="12.0"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ht="12.0"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ht="12.0"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ht="12.0"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ht="12.0"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ht="12.0"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ht="12.0"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ht="12.0"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ht="12.0"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ht="12.0"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ht="12.0"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ht="12.0"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ht="12.0"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ht="12.0"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ht="12.0"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ht="12.0"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ht="12.0"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ht="12.0"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ht="12.0"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ht="12.0"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ht="12.0"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ht="12.0"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ht="12.0"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ht="12.0"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ht="12.0"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ht="12.0"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ht="12.0"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ht="12.0"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ht="12.0"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ht="12.0"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ht="12.0"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ht="12.0"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ht="12.0"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ht="12.0"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ht="12.0"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ht="12.0"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ht="12.0"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ht="12.0"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ht="12.0"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ht="12.0"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ht="12.0"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ht="12.0"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ht="12.0"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ht="12.0"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ht="12.0"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ht="12.0"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ht="12.0"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ht="12.0"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ht="12.0"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ht="12.0"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ht="12.0"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ht="12.0"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ht="12.0"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ht="12.0"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ht="12.0"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ht="12.0"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ht="12.0"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ht="12.0"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ht="12.0"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ht="12.0"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ht="12.0"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ht="12.0"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ht="12.0"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ht="12.0"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ht="12.0"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ht="12.0"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ht="12.0"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ht="12.0"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ht="12.0"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ht="12.0"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ht="12.0"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ht="12.0"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ht="12.0"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ht="12.0"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ht="12.0"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ht="12.0"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ht="12.0"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ht="12.0"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ht="12.0"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ht="12.0"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ht="12.0"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ht="12.0"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ht="12.0"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ht="12.0"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ht="12.0"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ht="12.0"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ht="12.0"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ht="12.0"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ht="12.0"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ht="12.0"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ht="12.0"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ht="12.0"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ht="12.0"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ht="12.0"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ht="12.0"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ht="12.0"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ht="12.0"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ht="12.0"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ht="12.0"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ht="12.0"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ht="12.0"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ht="12.0"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ht="12.0"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ht="12.0"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ht="12.0"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ht="12.0"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ht="12.0"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ht="12.0"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ht="12.0"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ht="12.0"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ht="12.0"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ht="12.0"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ht="12.0"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ht="12.0"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ht="12.0"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ht="12.0"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ht="12.0"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ht="12.0"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ht="12.0"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ht="12.0"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ht="12.0"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ht="12.0"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ht="12.0"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ht="12.0"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ht="12.0"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ht="12.0"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ht="12.0"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ht="12.0"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ht="12.0"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ht="12.0"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ht="12.0"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ht="12.0"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ht="12.0"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ht="12.0"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ht="12.0"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ht="12.0"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ht="12.0"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ht="12.0"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ht="12.0"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ht="12.0"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ht="12.0"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ht="12.0"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ht="12.0"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ht="12.0"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ht="12.0"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ht="12.0"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ht="12.0"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ht="12.0"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ht="12.0"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ht="12.0"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ht="12.0"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ht="12.0"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ht="12.0"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ht="12.0"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ht="12.0"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ht="12.0"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ht="12.0"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ht="12.0"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ht="12.0"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ht="12.0"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ht="12.0"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ht="12.0"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ht="12.0"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ht="12.0"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ht="12.0"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ht="12.0"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ht="12.0"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ht="12.0"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ht="12.0"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ht="12.0"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ht="12.0"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ht="12.0"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ht="12.0"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ht="12.0"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ht="12.0"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ht="12.0"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ht="12.0"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ht="12.0"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ht="12.0"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ht="12.0"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ht="12.0"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ht="12.0"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ht="12.0"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ht="12.0"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ht="12.0"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ht="12.0"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ht="12.0"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ht="12.0"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ht="12.0"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ht="12.0"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ht="12.0"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ht="12.0"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ht="12.0"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ht="12.0"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ht="12.0"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ht="12.0"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ht="12.0"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ht="12.0"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ht="12.0"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ht="12.0"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ht="12.0"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ht="12.0"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ht="12.0"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ht="12.0"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ht="12.0"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ht="12.0"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ht="12.0"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ht="12.0"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ht="12.0"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ht="12.0"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ht="12.0"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ht="12.0"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ht="12.0"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ht="12.0"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ht="12.0"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ht="12.0"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ht="12.0"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ht="12.0"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ht="12.0"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ht="12.0"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ht="12.0"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ht="12.0"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ht="12.0"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ht="12.0"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ht="12.0"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ht="12.0"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ht="12.0"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ht="12.0"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ht="12.0"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ht="12.0"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ht="12.0"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ht="12.0"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ht="12.0"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ht="12.0"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ht="12.0"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ht="12.0"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ht="12.0"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ht="12.0"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ht="12.0"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ht="12.0"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ht="12.0"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ht="12.0"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ht="12.0"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ht="12.0"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ht="12.0"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ht="12.0"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ht="12.0"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ht="12.0"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ht="12.0"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ht="12.0"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ht="12.0"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ht="12.0"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ht="12.0"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ht="12.0"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ht="12.0"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ht="12.0"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ht="12.0"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ht="12.0"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ht="12.0"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ht="12.0"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ht="12.0"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ht="12.0"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ht="12.0"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ht="12.0"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ht="12.0"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ht="12.0"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ht="12.0"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ht="12.0"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ht="12.0"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ht="12.0"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ht="12.0"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ht="12.0"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ht="12.0"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ht="12.0"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ht="12.0"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ht="12.0"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ht="12.0"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ht="12.0"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ht="12.0"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ht="12.0"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ht="12.0"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ht="12.0"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ht="12.0"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ht="12.0"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ht="12.0"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ht="12.0"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ht="12.0"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ht="12.0"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ht="12.0"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ht="12.0"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ht="12.0"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ht="12.0"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ht="12.0"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ht="12.0"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ht="12.0"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ht="12.0"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ht="12.0"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ht="12.0"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ht="12.0"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ht="12.0"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ht="12.0"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ht="12.0"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ht="12.0"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ht="12.0"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ht="12.0"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ht="12.0"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ht="12.0"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ht="12.0"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ht="12.0"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ht="12.0"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ht="12.0"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ht="12.0"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ht="12.0"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ht="12.0"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ht="12.0"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ht="12.0"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ht="12.0"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ht="12.0"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ht="12.0"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ht="12.0"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ht="12.0"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ht="12.0"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ht="12.0"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ht="12.0"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ht="12.0"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ht="12.0"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ht="12.0"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ht="12.0"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ht="12.0"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ht="12.0"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ht="12.0"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ht="12.0"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ht="12.0"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ht="12.0"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ht="12.0"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ht="12.0"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ht="12.0"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ht="12.0"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ht="12.0"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ht="12.0"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ht="12.0"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ht="12.0"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ht="12.0"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ht="12.0"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ht="12.0"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ht="12.0"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ht="12.0"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ht="12.0"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ht="12.0"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ht="12.0"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ht="12.0"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ht="12.0"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ht="12.0"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ht="12.0"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ht="12.0"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ht="12.0"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ht="12.0"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ht="12.0"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ht="12.0"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ht="12.0"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ht="12.0"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ht="12.0"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ht="12.0"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ht="12.0"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ht="12.0"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ht="12.0"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ht="12.0"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ht="12.0"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ht="12.0"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ht="12.0"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ht="12.0"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ht="12.0"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ht="12.0"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ht="12.0"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ht="12.0"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ht="12.0"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ht="12.0"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ht="12.0"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ht="12.0"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ht="12.0"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ht="12.0"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ht="12.0"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ht="12.0"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ht="12.0"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ht="12.0"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ht="12.0"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ht="12.0"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ht="12.0"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ht="12.0"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ht="12.0"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ht="12.0"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ht="12.0"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ht="12.0"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ht="12.0"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ht="12.0"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ht="12.0"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ht="12.0"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ht="12.0"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ht="12.0"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ht="12.0"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ht="12.0"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ht="12.0"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ht="12.0"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ht="12.0"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ht="12.0"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ht="12.0"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ht="12.0"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ht="12.0"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ht="12.0"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ht="12.0"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ht="12.0"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ht="12.0"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ht="12.0"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ht="12.0"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ht="12.0"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ht="12.0"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ht="12.0"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ht="12.0"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ht="12.0"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ht="12.0"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ht="12.0"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ht="12.0"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ht="12.0"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ht="12.0"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ht="12.0"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ht="12.0"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ht="12.0"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ht="12.0"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ht="12.0"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ht="12.0"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ht="12.0"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ht="12.0"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ht="12.0"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ht="12.0"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ht="12.0"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ht="12.0"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ht="12.0"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ht="12.0"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mergeCells count="12">
    <mergeCell ref="A125:K125"/>
    <mergeCell ref="A139:K139"/>
    <mergeCell ref="A156:K156"/>
    <mergeCell ref="A168:K168"/>
    <mergeCell ref="A179:J179"/>
    <mergeCell ref="A1:K1"/>
    <mergeCell ref="A39:K39"/>
    <mergeCell ref="A58:K58"/>
    <mergeCell ref="A74:K74"/>
    <mergeCell ref="A85:K85"/>
    <mergeCell ref="A102:K102"/>
    <mergeCell ref="A113:K113"/>
  </mergeCells>
  <conditionalFormatting sqref="C3:I196">
    <cfRule type="expression" dxfId="0" priority="1">
      <formula>$E3&lt;&gt;"Yes"</formula>
    </cfRule>
  </conditionalFormatting>
  <conditionalFormatting sqref="H3:H38 H40:H57 H59:H73 H75:H84 H87:H101 H103:H112 H114:H124 H126:H138 H140:H151 H153:H155 H157:H167 H169:H196">
    <cfRule type="expression" dxfId="1" priority="2">
      <formula>$K3="Please enter your comments"</formula>
    </cfRule>
  </conditionalFormatting>
  <dataValidations>
    <dataValidation type="list" allowBlank="1" showInputMessage="1" showErrorMessage="1" prompt="Please select from the dropdown." sqref="F3:F38 F40:F57 F59:F73 F75:F84 F86:F101 F103:F112 F114:F124 F126:F138 F140:F155 F157:F167 F169:F178 F180:F196">
      <formula1>"Yes,No,NA"</formula1>
    </dataValidation>
  </dataValidations>
  <printOptions/>
  <pageMargins bottom="0.75" footer="0.0" header="0.0" left="0.7" right="0.7" top="0.75"/>
  <pageSetup orientation="portrait"/>
  <headerFooter>
    <oddHeader>&amp;L000000TCS Internal#</oddHeader>
    <oddFooter>&amp;L#000000TCS Internal</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3.14"/>
    <col customWidth="1" min="3" max="3" width="29.71"/>
    <col customWidth="1" min="4" max="4" width="8.29"/>
    <col customWidth="1" min="5" max="5" width="44.57"/>
    <col customWidth="1" min="6" max="7" width="31.57"/>
    <col customWidth="1" min="8" max="8" width="38.29"/>
    <col customWidth="1" min="9" max="26" width="8.71"/>
  </cols>
  <sheetData>
    <row r="1" ht="14.25" customHeight="1">
      <c r="A1" s="2" t="s">
        <v>2</v>
      </c>
      <c r="B1" s="4"/>
      <c r="C1" s="4"/>
      <c r="D1" s="4"/>
      <c r="E1" s="11"/>
      <c r="F1" s="7"/>
      <c r="G1" s="7"/>
      <c r="H1" s="7"/>
      <c r="I1" s="7"/>
      <c r="J1" s="7"/>
      <c r="K1" s="7"/>
      <c r="L1" s="7"/>
      <c r="M1" s="7"/>
      <c r="N1" s="7"/>
      <c r="O1" s="7"/>
      <c r="P1" s="7"/>
      <c r="Q1" s="7"/>
      <c r="R1" s="7"/>
      <c r="S1" s="7"/>
      <c r="T1" s="7"/>
      <c r="U1" s="7"/>
      <c r="V1" s="7"/>
      <c r="W1" s="7"/>
      <c r="X1" s="7"/>
      <c r="Y1" s="7"/>
      <c r="Z1" s="7"/>
    </row>
    <row r="2" ht="14.25" customHeight="1">
      <c r="A2" s="26"/>
      <c r="B2" s="4"/>
      <c r="C2" s="4"/>
      <c r="D2" s="4"/>
      <c r="E2" s="11"/>
      <c r="F2" s="7"/>
      <c r="G2" s="7"/>
      <c r="H2" s="7"/>
      <c r="I2" s="7"/>
      <c r="J2" s="7"/>
      <c r="K2" s="7"/>
      <c r="L2" s="7"/>
      <c r="M2" s="7"/>
      <c r="N2" s="7"/>
      <c r="O2" s="7"/>
      <c r="P2" s="7"/>
      <c r="Q2" s="7"/>
      <c r="R2" s="7"/>
      <c r="S2" s="7"/>
      <c r="T2" s="7"/>
      <c r="U2" s="7"/>
      <c r="V2" s="7"/>
      <c r="W2" s="7"/>
      <c r="X2" s="7"/>
      <c r="Y2" s="7"/>
      <c r="Z2" s="7"/>
    </row>
    <row r="3" ht="14.25" customHeight="1">
      <c r="A3" s="37" t="s">
        <v>26</v>
      </c>
      <c r="B3" s="11"/>
      <c r="C3" s="42"/>
      <c r="D3" s="4"/>
      <c r="E3" s="11"/>
      <c r="F3" s="7"/>
      <c r="G3" s="7"/>
      <c r="H3" s="7"/>
      <c r="I3" s="7"/>
      <c r="J3" s="7"/>
      <c r="K3" s="7"/>
      <c r="L3" s="7"/>
      <c r="M3" s="7"/>
      <c r="N3" s="7"/>
      <c r="O3" s="7"/>
      <c r="P3" s="7"/>
      <c r="Q3" s="7"/>
      <c r="R3" s="7"/>
      <c r="S3" s="7"/>
      <c r="T3" s="7"/>
      <c r="U3" s="7"/>
      <c r="V3" s="7"/>
      <c r="W3" s="7"/>
      <c r="X3" s="7"/>
      <c r="Y3" s="7"/>
      <c r="Z3" s="7"/>
    </row>
    <row r="4" ht="14.25" customHeight="1">
      <c r="A4" s="37" t="s">
        <v>39</v>
      </c>
      <c r="B4" s="11"/>
      <c r="C4" s="50"/>
      <c r="D4" s="4"/>
      <c r="E4" s="11"/>
      <c r="F4" s="7"/>
      <c r="G4" s="7"/>
      <c r="H4" s="7"/>
      <c r="I4" s="7"/>
      <c r="J4" s="7"/>
      <c r="K4" s="7"/>
      <c r="L4" s="7"/>
      <c r="M4" s="7"/>
      <c r="N4" s="7"/>
      <c r="O4" s="7"/>
      <c r="P4" s="7"/>
      <c r="Q4" s="7"/>
      <c r="R4" s="7"/>
      <c r="S4" s="7"/>
      <c r="T4" s="7"/>
      <c r="U4" s="7"/>
      <c r="V4" s="7"/>
      <c r="W4" s="7"/>
      <c r="X4" s="7"/>
      <c r="Y4" s="7"/>
      <c r="Z4" s="7"/>
    </row>
    <row r="5" ht="28.5" customHeight="1">
      <c r="A5" s="37" t="s">
        <v>43</v>
      </c>
      <c r="B5" s="11"/>
      <c r="C5" s="56"/>
      <c r="D5" s="4"/>
      <c r="E5" s="11"/>
      <c r="F5" s="27"/>
      <c r="G5" s="27"/>
      <c r="H5" s="27"/>
      <c r="I5" s="27"/>
      <c r="J5" s="27"/>
      <c r="K5" s="27"/>
      <c r="L5" s="27"/>
      <c r="M5" s="27"/>
      <c r="N5" s="27"/>
      <c r="O5" s="27"/>
      <c r="P5" s="27"/>
      <c r="Q5" s="27"/>
      <c r="R5" s="27"/>
      <c r="S5" s="27"/>
      <c r="T5" s="27"/>
      <c r="U5" s="27"/>
      <c r="V5" s="27"/>
      <c r="W5" s="27"/>
      <c r="X5" s="27"/>
      <c r="Y5" s="27"/>
      <c r="Z5" s="27"/>
    </row>
    <row r="6" ht="14.25" customHeight="1">
      <c r="A6" s="59"/>
      <c r="B6" s="59"/>
      <c r="C6" s="61"/>
      <c r="D6" s="61"/>
      <c r="E6" s="27"/>
      <c r="F6" s="27"/>
      <c r="G6" s="27"/>
      <c r="H6" s="27"/>
      <c r="I6" s="27"/>
      <c r="J6" s="27"/>
      <c r="K6" s="27"/>
      <c r="L6" s="27"/>
      <c r="M6" s="27"/>
      <c r="N6" s="27"/>
      <c r="O6" s="27"/>
      <c r="P6" s="27"/>
      <c r="Q6" s="27"/>
      <c r="R6" s="27"/>
      <c r="S6" s="27"/>
      <c r="T6" s="27"/>
      <c r="U6" s="27"/>
      <c r="V6" s="27"/>
      <c r="W6" s="27"/>
      <c r="X6" s="27"/>
      <c r="Y6" s="27"/>
      <c r="Z6" s="27"/>
    </row>
    <row r="7" ht="14.25" customHeight="1">
      <c r="A7" s="62" t="s">
        <v>49</v>
      </c>
      <c r="B7" s="62" t="s">
        <v>50</v>
      </c>
      <c r="C7" s="62" t="s">
        <v>51</v>
      </c>
      <c r="D7" s="62" t="s">
        <v>52</v>
      </c>
      <c r="E7" s="62" t="s">
        <v>53</v>
      </c>
      <c r="F7" s="62" t="s">
        <v>54</v>
      </c>
      <c r="G7" s="62" t="s">
        <v>55</v>
      </c>
      <c r="H7" s="62" t="s">
        <v>56</v>
      </c>
    </row>
    <row r="8" ht="14.25" customHeight="1">
      <c r="A8" s="63">
        <v>1.0</v>
      </c>
      <c r="B8" s="63" t="s">
        <v>58</v>
      </c>
      <c r="C8" s="63" t="s">
        <v>59</v>
      </c>
      <c r="D8" s="63">
        <v>1.1</v>
      </c>
      <c r="E8" s="63" t="s">
        <v>60</v>
      </c>
      <c r="F8" s="64" t="s">
        <v>61</v>
      </c>
      <c r="G8" s="63"/>
      <c r="H8" s="63" t="s">
        <v>62</v>
      </c>
    </row>
    <row r="9" ht="14.25" customHeight="1">
      <c r="A9" s="63">
        <v>2.0</v>
      </c>
      <c r="B9" s="63" t="s">
        <v>58</v>
      </c>
      <c r="C9" s="63" t="s">
        <v>59</v>
      </c>
      <c r="D9" s="63">
        <v>1.2</v>
      </c>
      <c r="E9" s="63" t="s">
        <v>64</v>
      </c>
      <c r="F9" s="64" t="s">
        <v>46</v>
      </c>
      <c r="G9" s="63"/>
      <c r="H9" s="63" t="s">
        <v>65</v>
      </c>
    </row>
    <row r="10" ht="14.25" customHeight="1">
      <c r="A10" s="63">
        <v>3.0</v>
      </c>
      <c r="B10" s="63" t="s">
        <v>58</v>
      </c>
      <c r="C10" s="63" t="s">
        <v>59</v>
      </c>
      <c r="D10" s="63">
        <v>1.3</v>
      </c>
      <c r="E10" s="63" t="s">
        <v>66</v>
      </c>
      <c r="F10" s="64" t="s">
        <v>46</v>
      </c>
      <c r="G10" s="63"/>
      <c r="H10" s="63" t="s">
        <v>65</v>
      </c>
    </row>
    <row r="11" ht="14.25" customHeight="1">
      <c r="A11" s="63">
        <v>4.0</v>
      </c>
      <c r="B11" s="63" t="s">
        <v>58</v>
      </c>
      <c r="C11" s="63" t="s">
        <v>59</v>
      </c>
      <c r="D11" s="63">
        <v>1.4</v>
      </c>
      <c r="E11" s="63" t="s">
        <v>68</v>
      </c>
      <c r="F11" s="64" t="s">
        <v>69</v>
      </c>
      <c r="G11" s="63"/>
      <c r="H11" s="63" t="s">
        <v>70</v>
      </c>
    </row>
    <row r="12" ht="14.25" customHeight="1">
      <c r="A12" s="63">
        <v>5.0</v>
      </c>
      <c r="B12" s="63" t="s">
        <v>71</v>
      </c>
      <c r="C12" s="63" t="s">
        <v>72</v>
      </c>
      <c r="D12" s="63">
        <v>2.1</v>
      </c>
      <c r="E12" s="63" t="s">
        <v>73</v>
      </c>
      <c r="F12" s="64" t="s">
        <v>46</v>
      </c>
      <c r="G12" s="63"/>
      <c r="H12" s="63" t="s">
        <v>75</v>
      </c>
    </row>
    <row r="13" ht="14.25" customHeight="1">
      <c r="A13" s="63">
        <v>6.0</v>
      </c>
      <c r="B13" s="63" t="s">
        <v>71</v>
      </c>
      <c r="C13" s="63" t="s">
        <v>72</v>
      </c>
      <c r="D13" s="63">
        <v>2.2</v>
      </c>
      <c r="E13" s="63" t="s">
        <v>76</v>
      </c>
      <c r="F13" s="64" t="s">
        <v>46</v>
      </c>
      <c r="G13" s="63"/>
      <c r="H13" s="63" t="s">
        <v>77</v>
      </c>
    </row>
    <row r="14" ht="14.25" customHeight="1">
      <c r="A14" s="63">
        <v>7.0</v>
      </c>
      <c r="B14" s="63" t="s">
        <v>71</v>
      </c>
      <c r="C14" s="63" t="s">
        <v>72</v>
      </c>
      <c r="D14" s="63">
        <v>2.3</v>
      </c>
      <c r="E14" s="63" t="s">
        <v>78</v>
      </c>
      <c r="F14" s="64" t="s">
        <v>79</v>
      </c>
      <c r="G14" s="63"/>
      <c r="H14" s="63" t="s">
        <v>80</v>
      </c>
    </row>
    <row r="15" ht="14.25" customHeight="1">
      <c r="A15" s="63">
        <v>8.0</v>
      </c>
      <c r="B15" s="63" t="s">
        <v>71</v>
      </c>
      <c r="C15" s="63" t="s">
        <v>72</v>
      </c>
      <c r="D15" s="63">
        <v>2.4</v>
      </c>
      <c r="E15" s="63" t="s">
        <v>82</v>
      </c>
      <c r="F15" s="64" t="s">
        <v>83</v>
      </c>
      <c r="G15" s="63"/>
      <c r="H15" s="63" t="s">
        <v>84</v>
      </c>
    </row>
    <row r="16" ht="14.25" customHeight="1">
      <c r="A16" s="63">
        <v>9.0</v>
      </c>
      <c r="B16" s="63" t="s">
        <v>71</v>
      </c>
      <c r="C16" s="63" t="s">
        <v>72</v>
      </c>
      <c r="D16" s="63">
        <v>2.5</v>
      </c>
      <c r="E16" s="63" t="s">
        <v>85</v>
      </c>
      <c r="F16" s="64" t="s">
        <v>86</v>
      </c>
      <c r="G16" s="63"/>
      <c r="H16" s="63" t="s">
        <v>87</v>
      </c>
    </row>
    <row r="17" ht="14.25" customHeight="1">
      <c r="A17" s="63">
        <v>10.0</v>
      </c>
      <c r="B17" s="63" t="s">
        <v>71</v>
      </c>
      <c r="C17" s="63" t="s">
        <v>72</v>
      </c>
      <c r="D17" s="63">
        <v>2.6</v>
      </c>
      <c r="E17" s="63" t="s">
        <v>88</v>
      </c>
      <c r="F17" s="64" t="s">
        <v>90</v>
      </c>
      <c r="G17" s="63"/>
      <c r="H17" s="63" t="s">
        <v>91</v>
      </c>
    </row>
    <row r="18" ht="14.25" customHeight="1">
      <c r="A18" s="63">
        <v>11.0</v>
      </c>
      <c r="B18" s="63" t="s">
        <v>71</v>
      </c>
      <c r="C18" s="63" t="s">
        <v>72</v>
      </c>
      <c r="D18" s="63">
        <v>2.7</v>
      </c>
      <c r="E18" s="63" t="s">
        <v>92</v>
      </c>
      <c r="F18" s="64" t="s">
        <v>46</v>
      </c>
      <c r="G18" s="63"/>
      <c r="H18" s="63" t="s">
        <v>93</v>
      </c>
    </row>
    <row r="19" ht="14.25" customHeight="1">
      <c r="A19" s="63">
        <v>12.0</v>
      </c>
      <c r="B19" s="63" t="s">
        <v>71</v>
      </c>
      <c r="C19" s="63" t="s">
        <v>72</v>
      </c>
      <c r="D19" s="63">
        <v>2.8</v>
      </c>
      <c r="E19" s="63" t="s">
        <v>94</v>
      </c>
      <c r="F19" s="64" t="s">
        <v>46</v>
      </c>
      <c r="G19" s="63"/>
      <c r="H19" s="63" t="s">
        <v>95</v>
      </c>
    </row>
    <row r="20" ht="14.25" customHeight="1">
      <c r="A20" s="63">
        <v>13.0</v>
      </c>
      <c r="B20" s="63" t="s">
        <v>71</v>
      </c>
      <c r="C20" s="63" t="s">
        <v>72</v>
      </c>
      <c r="D20" s="63">
        <v>2.9</v>
      </c>
      <c r="E20" s="63" t="s">
        <v>97</v>
      </c>
      <c r="F20" s="64" t="s">
        <v>46</v>
      </c>
      <c r="G20" s="63"/>
      <c r="H20" s="63" t="s">
        <v>98</v>
      </c>
    </row>
    <row r="21" ht="14.25" customHeight="1">
      <c r="A21" s="63">
        <v>14.0</v>
      </c>
      <c r="B21" s="63" t="s">
        <v>71</v>
      </c>
      <c r="C21" s="63" t="s">
        <v>72</v>
      </c>
      <c r="D21" s="63">
        <v>2.1</v>
      </c>
      <c r="E21" s="63" t="s">
        <v>99</v>
      </c>
      <c r="F21" s="64" t="s">
        <v>46</v>
      </c>
      <c r="G21" s="63"/>
      <c r="H21" s="63" t="s">
        <v>100</v>
      </c>
    </row>
    <row r="22" ht="14.25" customHeight="1">
      <c r="A22" s="63">
        <v>15.0</v>
      </c>
      <c r="B22" s="63" t="s">
        <v>71</v>
      </c>
      <c r="C22" s="63" t="s">
        <v>72</v>
      </c>
      <c r="D22" s="63">
        <v>2.11</v>
      </c>
      <c r="E22" s="63" t="s">
        <v>101</v>
      </c>
      <c r="F22" s="64" t="s">
        <v>46</v>
      </c>
      <c r="G22" s="63"/>
      <c r="H22" s="63" t="s">
        <v>102</v>
      </c>
    </row>
    <row r="23" ht="14.25" customHeight="1">
      <c r="A23" s="63">
        <v>16.0</v>
      </c>
      <c r="B23" s="63" t="s">
        <v>71</v>
      </c>
      <c r="C23" s="63" t="s">
        <v>72</v>
      </c>
      <c r="D23" s="63">
        <v>2.12</v>
      </c>
      <c r="E23" s="63" t="s">
        <v>103</v>
      </c>
      <c r="F23" s="64" t="s">
        <v>46</v>
      </c>
      <c r="G23" s="63"/>
      <c r="H23" s="63" t="s">
        <v>104</v>
      </c>
    </row>
    <row r="24" ht="14.25" customHeight="1">
      <c r="A24" s="63">
        <v>17.0</v>
      </c>
      <c r="B24" s="63" t="s">
        <v>71</v>
      </c>
      <c r="C24" s="63" t="s">
        <v>72</v>
      </c>
      <c r="D24" s="63">
        <v>2.13</v>
      </c>
      <c r="E24" s="63" t="s">
        <v>105</v>
      </c>
      <c r="F24" s="64" t="s">
        <v>106</v>
      </c>
      <c r="G24" s="63"/>
      <c r="H24" s="63" t="s">
        <v>107</v>
      </c>
    </row>
    <row r="25" ht="14.25" customHeight="1">
      <c r="A25" s="63">
        <v>18.0</v>
      </c>
      <c r="B25" s="63" t="s">
        <v>71</v>
      </c>
      <c r="C25" s="63" t="s">
        <v>72</v>
      </c>
      <c r="D25" s="63">
        <v>2.14</v>
      </c>
      <c r="E25" s="63" t="s">
        <v>108</v>
      </c>
      <c r="F25" s="64" t="s">
        <v>109</v>
      </c>
      <c r="G25" s="63"/>
      <c r="H25" s="63" t="s">
        <v>110</v>
      </c>
    </row>
    <row r="26" ht="14.25" customHeight="1">
      <c r="A26" s="63">
        <v>19.0</v>
      </c>
      <c r="B26" s="63" t="s">
        <v>71</v>
      </c>
      <c r="C26" s="63" t="s">
        <v>72</v>
      </c>
      <c r="D26" s="63">
        <v>2.15</v>
      </c>
      <c r="E26" s="63" t="s">
        <v>111</v>
      </c>
      <c r="F26" s="64" t="s">
        <v>112</v>
      </c>
      <c r="G26" s="63"/>
      <c r="H26" s="63" t="s">
        <v>113</v>
      </c>
    </row>
    <row r="27" ht="14.25" customHeight="1">
      <c r="A27" s="63">
        <v>20.0</v>
      </c>
      <c r="B27" s="63" t="s">
        <v>71</v>
      </c>
      <c r="C27" s="63" t="s">
        <v>72</v>
      </c>
      <c r="D27" s="63">
        <v>2.16</v>
      </c>
      <c r="E27" s="63" t="s">
        <v>115</v>
      </c>
      <c r="F27" s="64" t="s">
        <v>116</v>
      </c>
      <c r="G27" s="63"/>
      <c r="H27" s="63" t="s">
        <v>117</v>
      </c>
    </row>
    <row r="28" ht="14.25" customHeight="1">
      <c r="A28" s="63">
        <v>21.0</v>
      </c>
      <c r="B28" s="63" t="s">
        <v>71</v>
      </c>
      <c r="C28" s="63" t="s">
        <v>72</v>
      </c>
      <c r="D28" s="63">
        <v>2.17</v>
      </c>
      <c r="E28" s="63" t="s">
        <v>118</v>
      </c>
      <c r="F28" s="64" t="s">
        <v>119</v>
      </c>
      <c r="G28" s="63"/>
      <c r="H28" s="63" t="s">
        <v>120</v>
      </c>
    </row>
    <row r="29" ht="14.25" customHeight="1">
      <c r="A29" s="63">
        <v>21.0</v>
      </c>
      <c r="B29" s="63" t="s">
        <v>71</v>
      </c>
      <c r="C29" s="63" t="s">
        <v>72</v>
      </c>
      <c r="D29" s="63">
        <v>2.18</v>
      </c>
      <c r="E29" s="63" t="s">
        <v>122</v>
      </c>
      <c r="F29" s="64" t="s">
        <v>46</v>
      </c>
      <c r="G29" s="63"/>
      <c r="H29" s="63" t="s">
        <v>123</v>
      </c>
    </row>
    <row r="30" ht="14.25" customHeight="1">
      <c r="A30" s="63">
        <v>22.0</v>
      </c>
      <c r="B30" s="63" t="s">
        <v>124</v>
      </c>
      <c r="C30" s="63" t="s">
        <v>125</v>
      </c>
      <c r="D30" s="63">
        <v>3.1</v>
      </c>
      <c r="E30" s="63" t="s">
        <v>126</v>
      </c>
      <c r="F30" s="64" t="s">
        <v>127</v>
      </c>
      <c r="G30" s="63"/>
      <c r="H30" s="63" t="s">
        <v>128</v>
      </c>
    </row>
    <row r="31" ht="14.25" customHeight="1">
      <c r="A31" s="63">
        <v>23.0</v>
      </c>
      <c r="B31" s="63" t="s">
        <v>124</v>
      </c>
      <c r="C31" s="63" t="s">
        <v>125</v>
      </c>
      <c r="D31" s="63">
        <v>3.2</v>
      </c>
      <c r="E31" s="63" t="s">
        <v>129</v>
      </c>
      <c r="F31" s="64" t="s">
        <v>130</v>
      </c>
      <c r="G31" s="63"/>
      <c r="H31" s="63" t="s">
        <v>131</v>
      </c>
    </row>
    <row r="32" ht="14.25" customHeight="1">
      <c r="A32" s="63">
        <v>24.0</v>
      </c>
      <c r="B32" s="63" t="s">
        <v>124</v>
      </c>
      <c r="C32" s="63" t="s">
        <v>125</v>
      </c>
      <c r="D32" s="63">
        <v>3.3</v>
      </c>
      <c r="E32" s="63" t="s">
        <v>132</v>
      </c>
      <c r="F32" s="64" t="s">
        <v>133</v>
      </c>
      <c r="G32" s="63"/>
      <c r="H32" s="63" t="s">
        <v>134</v>
      </c>
    </row>
    <row r="33" ht="14.25" customHeight="1">
      <c r="A33" s="63">
        <v>25.0</v>
      </c>
      <c r="B33" s="63" t="s">
        <v>124</v>
      </c>
      <c r="C33" s="63" t="s">
        <v>125</v>
      </c>
      <c r="D33" s="63">
        <v>3.4</v>
      </c>
      <c r="E33" s="63" t="s">
        <v>136</v>
      </c>
      <c r="F33" s="64" t="s">
        <v>137</v>
      </c>
      <c r="G33" s="63"/>
      <c r="H33" s="63" t="s">
        <v>138</v>
      </c>
    </row>
    <row r="34" ht="14.25" customHeight="1">
      <c r="A34" s="63">
        <v>26.0</v>
      </c>
      <c r="B34" s="63" t="s">
        <v>124</v>
      </c>
      <c r="C34" s="63" t="s">
        <v>125</v>
      </c>
      <c r="D34" s="63">
        <v>3.5</v>
      </c>
      <c r="E34" s="63" t="s">
        <v>139</v>
      </c>
      <c r="F34" s="64" t="s">
        <v>46</v>
      </c>
      <c r="G34" s="63"/>
      <c r="H34" s="63" t="s">
        <v>140</v>
      </c>
    </row>
    <row r="35" ht="14.25" customHeight="1">
      <c r="A35" s="63">
        <v>27.0</v>
      </c>
      <c r="B35" s="63" t="s">
        <v>141</v>
      </c>
      <c r="C35" s="63" t="s">
        <v>142</v>
      </c>
      <c r="D35" s="63">
        <v>4.1</v>
      </c>
      <c r="E35" s="63" t="s">
        <v>143</v>
      </c>
      <c r="F35" s="64" t="s">
        <v>144</v>
      </c>
      <c r="G35" s="63"/>
      <c r="H35" s="63" t="s">
        <v>145</v>
      </c>
    </row>
    <row r="36" ht="14.25" customHeight="1">
      <c r="A36" s="63">
        <v>28.0</v>
      </c>
      <c r="B36" s="63" t="s">
        <v>141</v>
      </c>
      <c r="C36" s="63" t="s">
        <v>142</v>
      </c>
      <c r="D36" s="63">
        <v>4.2</v>
      </c>
      <c r="E36" s="63" t="s">
        <v>147</v>
      </c>
      <c r="F36" s="64" t="s">
        <v>148</v>
      </c>
      <c r="G36" s="63"/>
      <c r="H36" s="63" t="s">
        <v>149</v>
      </c>
    </row>
    <row r="37" ht="14.25" customHeight="1">
      <c r="A37" s="63">
        <v>29.0</v>
      </c>
      <c r="B37" s="63" t="s">
        <v>141</v>
      </c>
      <c r="C37" s="63" t="s">
        <v>142</v>
      </c>
      <c r="D37" s="63">
        <v>4.3</v>
      </c>
      <c r="E37" s="63" t="s">
        <v>150</v>
      </c>
      <c r="F37" s="64" t="s">
        <v>151</v>
      </c>
      <c r="G37" s="63"/>
      <c r="H37" s="63" t="s">
        <v>152</v>
      </c>
    </row>
    <row r="38" ht="14.25" customHeight="1">
      <c r="A38" s="63">
        <v>30.0</v>
      </c>
      <c r="B38" s="63" t="s">
        <v>141</v>
      </c>
      <c r="C38" s="63" t="s">
        <v>142</v>
      </c>
      <c r="D38" s="63">
        <v>4.4</v>
      </c>
      <c r="E38" s="63" t="s">
        <v>153</v>
      </c>
      <c r="F38" s="64" t="s">
        <v>46</v>
      </c>
      <c r="G38" s="63"/>
      <c r="H38" s="63" t="s">
        <v>154</v>
      </c>
    </row>
    <row r="39" ht="14.25" customHeight="1">
      <c r="A39" s="63">
        <v>31.0</v>
      </c>
      <c r="B39" s="63" t="s">
        <v>141</v>
      </c>
      <c r="C39" s="63" t="s">
        <v>142</v>
      </c>
      <c r="D39" s="63">
        <v>4.5</v>
      </c>
      <c r="E39" s="63" t="s">
        <v>156</v>
      </c>
      <c r="F39" s="64" t="s">
        <v>157</v>
      </c>
      <c r="G39" s="63"/>
      <c r="H39" s="63" t="s">
        <v>158</v>
      </c>
    </row>
    <row r="40" ht="14.25" customHeight="1">
      <c r="A40" s="63">
        <v>32.0</v>
      </c>
      <c r="B40" s="63" t="s">
        <v>141</v>
      </c>
      <c r="C40" s="63" t="s">
        <v>142</v>
      </c>
      <c r="D40" s="63">
        <v>4.6</v>
      </c>
      <c r="E40" s="63" t="s">
        <v>159</v>
      </c>
      <c r="F40" s="64" t="s">
        <v>160</v>
      </c>
      <c r="G40" s="63"/>
      <c r="H40" s="63" t="s">
        <v>161</v>
      </c>
    </row>
    <row r="41" ht="14.25" customHeight="1">
      <c r="A41" s="63">
        <v>33.0</v>
      </c>
      <c r="B41" s="63" t="s">
        <v>162</v>
      </c>
      <c r="C41" s="63" t="s">
        <v>164</v>
      </c>
      <c r="D41" s="63">
        <v>5.1</v>
      </c>
      <c r="E41" s="63" t="s">
        <v>165</v>
      </c>
      <c r="F41" s="64" t="s">
        <v>166</v>
      </c>
      <c r="G41" s="63"/>
      <c r="H41" s="63" t="s">
        <v>167</v>
      </c>
    </row>
    <row r="42" ht="14.25" customHeight="1">
      <c r="A42" s="63">
        <v>34.0</v>
      </c>
      <c r="B42" s="63" t="s">
        <v>162</v>
      </c>
      <c r="C42" s="63" t="s">
        <v>164</v>
      </c>
      <c r="D42" s="63">
        <v>5.2</v>
      </c>
      <c r="E42" s="63" t="s">
        <v>169</v>
      </c>
      <c r="F42" s="64" t="s">
        <v>170</v>
      </c>
      <c r="G42" s="63"/>
      <c r="H42" s="63" t="s">
        <v>171</v>
      </c>
    </row>
    <row r="43" ht="14.25" customHeight="1">
      <c r="A43" s="63">
        <v>35.0</v>
      </c>
      <c r="B43" s="63" t="s">
        <v>162</v>
      </c>
      <c r="C43" s="63" t="s">
        <v>164</v>
      </c>
      <c r="D43" s="63">
        <v>5.3</v>
      </c>
      <c r="E43" s="63" t="s">
        <v>172</v>
      </c>
      <c r="F43" s="64" t="s">
        <v>173</v>
      </c>
      <c r="G43" s="63"/>
      <c r="H43" s="63" t="s">
        <v>174</v>
      </c>
    </row>
    <row r="44" ht="14.25" customHeight="1">
      <c r="A44" s="63">
        <v>36.0</v>
      </c>
      <c r="B44" s="63" t="s">
        <v>162</v>
      </c>
      <c r="C44" s="63" t="s">
        <v>164</v>
      </c>
      <c r="D44" s="63">
        <v>5.4</v>
      </c>
      <c r="E44" s="63" t="s">
        <v>175</v>
      </c>
      <c r="F44" s="64" t="s">
        <v>176</v>
      </c>
      <c r="G44" s="63"/>
      <c r="H44" s="63" t="s">
        <v>177</v>
      </c>
    </row>
    <row r="45" ht="14.25" customHeight="1">
      <c r="A45" s="63">
        <v>38.0</v>
      </c>
      <c r="B45" s="63" t="s">
        <v>162</v>
      </c>
      <c r="C45" s="63" t="s">
        <v>164</v>
      </c>
      <c r="D45" s="63">
        <v>5.5</v>
      </c>
      <c r="E45" s="63" t="s">
        <v>179</v>
      </c>
      <c r="F45" s="64" t="s">
        <v>180</v>
      </c>
      <c r="G45" s="63"/>
      <c r="H45" s="63" t="s">
        <v>181</v>
      </c>
    </row>
    <row r="46" ht="14.25" customHeight="1">
      <c r="A46" s="63">
        <v>37.0</v>
      </c>
      <c r="B46" s="63" t="s">
        <v>162</v>
      </c>
      <c r="C46" s="63" t="s">
        <v>164</v>
      </c>
      <c r="D46" s="63">
        <v>5.6</v>
      </c>
      <c r="E46" s="63" t="s">
        <v>183</v>
      </c>
      <c r="F46" s="64" t="s">
        <v>184</v>
      </c>
      <c r="G46" s="63"/>
      <c r="H46" s="63" t="s">
        <v>185</v>
      </c>
    </row>
    <row r="47" ht="14.25" customHeight="1">
      <c r="A47" s="63">
        <v>38.0</v>
      </c>
      <c r="B47" s="63" t="s">
        <v>162</v>
      </c>
      <c r="C47" s="63" t="s">
        <v>164</v>
      </c>
      <c r="D47" s="63">
        <v>5.7</v>
      </c>
      <c r="E47" s="63" t="s">
        <v>186</v>
      </c>
      <c r="F47" s="64" t="s">
        <v>46</v>
      </c>
      <c r="G47" s="63"/>
      <c r="H47" s="63" t="s">
        <v>187</v>
      </c>
    </row>
    <row r="48" ht="14.25" customHeight="1">
      <c r="A48" s="63">
        <v>39.0</v>
      </c>
      <c r="B48" s="63" t="s">
        <v>162</v>
      </c>
      <c r="C48" s="63" t="s">
        <v>164</v>
      </c>
      <c r="D48" s="63">
        <v>5.8</v>
      </c>
      <c r="E48" s="63" t="s">
        <v>188</v>
      </c>
      <c r="F48" s="64" t="s">
        <v>46</v>
      </c>
      <c r="G48" s="63"/>
      <c r="H48" s="63" t="s">
        <v>189</v>
      </c>
    </row>
    <row r="49" ht="14.25" customHeight="1">
      <c r="A49" s="63">
        <v>40.0</v>
      </c>
      <c r="B49" s="63" t="s">
        <v>162</v>
      </c>
      <c r="C49" s="63" t="s">
        <v>164</v>
      </c>
      <c r="D49" s="63">
        <v>5.9</v>
      </c>
      <c r="E49" s="63" t="s">
        <v>191</v>
      </c>
      <c r="F49" s="64" t="s">
        <v>192</v>
      </c>
      <c r="G49" s="63"/>
      <c r="H49" s="63" t="s">
        <v>193</v>
      </c>
    </row>
    <row r="50" ht="14.25" customHeight="1">
      <c r="A50" s="63">
        <v>41.0</v>
      </c>
      <c r="B50" s="63" t="s">
        <v>162</v>
      </c>
      <c r="C50" s="63" t="s">
        <v>164</v>
      </c>
      <c r="D50" s="63">
        <v>5.1</v>
      </c>
      <c r="E50" s="63" t="s">
        <v>194</v>
      </c>
      <c r="F50" s="64" t="s">
        <v>195</v>
      </c>
      <c r="G50" s="63"/>
      <c r="H50" s="63" t="s">
        <v>197</v>
      </c>
    </row>
    <row r="51" ht="14.25" customHeight="1">
      <c r="A51" s="63">
        <v>42.0</v>
      </c>
      <c r="B51" s="63" t="s">
        <v>162</v>
      </c>
      <c r="C51" s="63" t="s">
        <v>164</v>
      </c>
      <c r="D51" s="63">
        <v>5.11</v>
      </c>
      <c r="E51" s="63" t="s">
        <v>199</v>
      </c>
      <c r="F51" s="64" t="s">
        <v>200</v>
      </c>
      <c r="G51" s="63"/>
      <c r="H51" s="63" t="s">
        <v>201</v>
      </c>
    </row>
    <row r="52" ht="14.25" customHeight="1">
      <c r="A52" s="63">
        <v>43.0</v>
      </c>
      <c r="B52" s="63" t="s">
        <v>162</v>
      </c>
      <c r="C52" s="63" t="s">
        <v>164</v>
      </c>
      <c r="D52" s="63">
        <v>5.12</v>
      </c>
      <c r="E52" s="63" t="s">
        <v>203</v>
      </c>
      <c r="F52" s="64" t="s">
        <v>204</v>
      </c>
      <c r="G52" s="63"/>
      <c r="H52" s="63" t="s">
        <v>205</v>
      </c>
    </row>
    <row r="53" ht="14.25" customHeight="1">
      <c r="A53" s="63">
        <v>46.0</v>
      </c>
      <c r="B53" s="63" t="s">
        <v>162</v>
      </c>
      <c r="C53" s="63" t="s">
        <v>164</v>
      </c>
      <c r="D53" s="63">
        <v>5.13</v>
      </c>
      <c r="E53" s="63" t="s">
        <v>207</v>
      </c>
      <c r="F53" s="64" t="s">
        <v>208</v>
      </c>
      <c r="G53" s="63"/>
      <c r="H53" s="63" t="s">
        <v>210</v>
      </c>
    </row>
    <row r="54" ht="14.25" customHeight="1">
      <c r="A54" s="63">
        <v>44.0</v>
      </c>
      <c r="B54" s="63" t="s">
        <v>162</v>
      </c>
      <c r="C54" s="63" t="s">
        <v>164</v>
      </c>
      <c r="D54" s="63">
        <v>5.14</v>
      </c>
      <c r="E54" s="63" t="s">
        <v>212</v>
      </c>
      <c r="F54" s="64" t="s">
        <v>213</v>
      </c>
      <c r="G54" s="63"/>
      <c r="H54" s="63" t="s">
        <v>214</v>
      </c>
    </row>
    <row r="55" ht="14.25" customHeight="1">
      <c r="A55" s="63">
        <v>45.0</v>
      </c>
      <c r="B55" s="63" t="s">
        <v>162</v>
      </c>
      <c r="C55" s="63" t="s">
        <v>164</v>
      </c>
      <c r="D55" s="63">
        <v>5.15</v>
      </c>
      <c r="E55" s="63" t="s">
        <v>215</v>
      </c>
      <c r="F55" s="64" t="s">
        <v>46</v>
      </c>
      <c r="G55" s="63"/>
      <c r="H55" s="63" t="s">
        <v>216</v>
      </c>
    </row>
    <row r="56" ht="14.25" customHeight="1">
      <c r="A56" s="63">
        <v>46.0</v>
      </c>
      <c r="B56" s="63" t="s">
        <v>162</v>
      </c>
      <c r="C56" s="63" t="s">
        <v>164</v>
      </c>
      <c r="D56" s="63">
        <v>5.16</v>
      </c>
      <c r="E56" s="63" t="s">
        <v>218</v>
      </c>
      <c r="F56" s="64" t="s">
        <v>219</v>
      </c>
      <c r="G56" s="63"/>
      <c r="H56" s="63" t="s">
        <v>220</v>
      </c>
    </row>
    <row r="57" ht="14.25" customHeight="1">
      <c r="A57" s="63">
        <v>47.0</v>
      </c>
      <c r="B57" s="63" t="s">
        <v>162</v>
      </c>
      <c r="C57" s="63" t="s">
        <v>164</v>
      </c>
      <c r="D57" s="63">
        <v>5.17</v>
      </c>
      <c r="E57" s="63" t="s">
        <v>222</v>
      </c>
      <c r="F57" s="64" t="s">
        <v>46</v>
      </c>
      <c r="G57" s="63"/>
      <c r="H57" s="63" t="s">
        <v>223</v>
      </c>
    </row>
    <row r="58" ht="14.25" customHeight="1">
      <c r="A58" s="63">
        <v>48.0</v>
      </c>
      <c r="B58" s="63" t="s">
        <v>224</v>
      </c>
      <c r="C58" s="63" t="s">
        <v>225</v>
      </c>
      <c r="D58" s="63">
        <v>6.1</v>
      </c>
      <c r="E58" s="63" t="s">
        <v>226</v>
      </c>
      <c r="F58" s="64" t="s">
        <v>227</v>
      </c>
      <c r="G58" s="63"/>
      <c r="H58" s="63" t="s">
        <v>229</v>
      </c>
    </row>
    <row r="59" ht="14.25" customHeight="1">
      <c r="A59" s="63">
        <v>49.0</v>
      </c>
      <c r="B59" s="63" t="s">
        <v>224</v>
      </c>
      <c r="C59" s="63" t="s">
        <v>225</v>
      </c>
      <c r="D59" s="63">
        <v>6.2</v>
      </c>
      <c r="E59" s="63" t="s">
        <v>232</v>
      </c>
      <c r="F59" s="64" t="s">
        <v>233</v>
      </c>
      <c r="G59" s="63"/>
      <c r="H59" s="63" t="s">
        <v>229</v>
      </c>
    </row>
    <row r="60" ht="14.25" customHeight="1">
      <c r="A60" s="63">
        <v>50.0</v>
      </c>
      <c r="B60" s="63" t="s">
        <v>224</v>
      </c>
      <c r="C60" s="63" t="s">
        <v>225</v>
      </c>
      <c r="D60" s="63">
        <v>6.3</v>
      </c>
      <c r="E60" s="63" t="s">
        <v>236</v>
      </c>
      <c r="F60" s="64" t="s">
        <v>237</v>
      </c>
      <c r="G60" s="63"/>
      <c r="H60" s="63" t="s">
        <v>229</v>
      </c>
    </row>
    <row r="61" ht="14.25" customHeight="1">
      <c r="A61" s="63">
        <v>51.0</v>
      </c>
      <c r="B61" s="63" t="s">
        <v>224</v>
      </c>
      <c r="C61" s="63" t="s">
        <v>225</v>
      </c>
      <c r="D61" s="63">
        <v>6.4</v>
      </c>
      <c r="E61" s="63" t="s">
        <v>239</v>
      </c>
      <c r="F61" s="64" t="s">
        <v>240</v>
      </c>
      <c r="G61" s="63"/>
      <c r="H61" s="63" t="s">
        <v>229</v>
      </c>
    </row>
    <row r="62" ht="14.25" customHeight="1">
      <c r="A62" s="63">
        <v>52.0</v>
      </c>
      <c r="B62" s="63" t="s">
        <v>224</v>
      </c>
      <c r="C62" s="63" t="s">
        <v>225</v>
      </c>
      <c r="D62" s="63">
        <v>6.5</v>
      </c>
      <c r="E62" s="63" t="s">
        <v>241</v>
      </c>
      <c r="F62" s="64" t="s">
        <v>242</v>
      </c>
      <c r="G62" s="63"/>
      <c r="H62" s="63" t="s">
        <v>229</v>
      </c>
    </row>
    <row r="63" ht="14.25" customHeight="1">
      <c r="A63" s="63">
        <v>53.0</v>
      </c>
      <c r="B63" s="63" t="s">
        <v>224</v>
      </c>
      <c r="C63" s="63" t="s">
        <v>225</v>
      </c>
      <c r="D63" s="63">
        <v>6.6</v>
      </c>
      <c r="E63" s="63" t="s">
        <v>244</v>
      </c>
      <c r="F63" s="64" t="s">
        <v>245</v>
      </c>
      <c r="G63" s="63"/>
      <c r="H63" s="63" t="s">
        <v>229</v>
      </c>
    </row>
    <row r="64" ht="14.25" customHeight="1">
      <c r="A64" s="63">
        <v>54.0</v>
      </c>
      <c r="B64" s="63" t="s">
        <v>224</v>
      </c>
      <c r="C64" s="63" t="s">
        <v>225</v>
      </c>
      <c r="D64" s="63">
        <v>6.7</v>
      </c>
      <c r="E64" s="63" t="s">
        <v>246</v>
      </c>
      <c r="F64" s="64" t="s">
        <v>247</v>
      </c>
      <c r="G64" s="63"/>
      <c r="H64" s="63" t="s">
        <v>229</v>
      </c>
    </row>
    <row r="65" ht="14.25" customHeight="1">
      <c r="A65" s="63">
        <v>55.0</v>
      </c>
      <c r="B65" s="63" t="s">
        <v>224</v>
      </c>
      <c r="C65" s="63" t="s">
        <v>225</v>
      </c>
      <c r="D65" s="63">
        <v>6.8</v>
      </c>
      <c r="E65" s="63" t="s">
        <v>248</v>
      </c>
      <c r="F65" s="64" t="s">
        <v>249</v>
      </c>
      <c r="G65" s="63"/>
      <c r="H65" s="63" t="s">
        <v>229</v>
      </c>
    </row>
    <row r="66" ht="14.25" customHeight="1">
      <c r="A66" s="63">
        <v>56.0</v>
      </c>
      <c r="B66" s="63" t="s">
        <v>224</v>
      </c>
      <c r="C66" s="63" t="s">
        <v>225</v>
      </c>
      <c r="D66" s="63">
        <v>6.9</v>
      </c>
      <c r="E66" s="63" t="s">
        <v>250</v>
      </c>
      <c r="F66" s="64" t="s">
        <v>251</v>
      </c>
      <c r="G66" s="63"/>
      <c r="H66" s="63" t="s">
        <v>229</v>
      </c>
    </row>
    <row r="67" ht="14.25" customHeight="1">
      <c r="A67" s="63">
        <v>57.0</v>
      </c>
      <c r="B67" s="63" t="s">
        <v>224</v>
      </c>
      <c r="C67" s="63" t="s">
        <v>225</v>
      </c>
      <c r="D67" s="63">
        <v>6.1</v>
      </c>
      <c r="E67" s="63" t="s">
        <v>252</v>
      </c>
      <c r="F67" s="64" t="s">
        <v>227</v>
      </c>
      <c r="G67" s="63"/>
      <c r="H67" s="63" t="s">
        <v>229</v>
      </c>
    </row>
    <row r="68" ht="14.25" customHeight="1">
      <c r="A68" s="63">
        <v>58.0</v>
      </c>
      <c r="B68" s="63" t="s">
        <v>224</v>
      </c>
      <c r="C68" s="63" t="s">
        <v>225</v>
      </c>
      <c r="D68" s="63">
        <v>6.11</v>
      </c>
      <c r="E68" s="63" t="s">
        <v>254</v>
      </c>
      <c r="F68" s="64" t="s">
        <v>255</v>
      </c>
      <c r="G68" s="63"/>
      <c r="H68" s="63" t="s">
        <v>229</v>
      </c>
    </row>
    <row r="69" ht="14.25" customHeight="1">
      <c r="A69" s="63">
        <v>59.0</v>
      </c>
      <c r="B69" s="63" t="s">
        <v>224</v>
      </c>
      <c r="C69" s="63" t="s">
        <v>225</v>
      </c>
      <c r="D69" s="63">
        <v>6.12</v>
      </c>
      <c r="E69" s="63" t="s">
        <v>257</v>
      </c>
      <c r="F69" s="64" t="s">
        <v>259</v>
      </c>
      <c r="G69" s="63"/>
      <c r="H69" s="63" t="s">
        <v>229</v>
      </c>
    </row>
    <row r="70" ht="14.25" customHeight="1">
      <c r="A70" s="63">
        <v>60.0</v>
      </c>
      <c r="B70" s="63" t="s">
        <v>260</v>
      </c>
      <c r="C70" s="63" t="s">
        <v>261</v>
      </c>
      <c r="D70" s="63">
        <v>7.1</v>
      </c>
      <c r="E70" s="63" t="s">
        <v>263</v>
      </c>
      <c r="F70" s="64" t="s">
        <v>264</v>
      </c>
      <c r="G70" s="63"/>
      <c r="H70" s="63" t="s">
        <v>265</v>
      </c>
    </row>
    <row r="71" ht="14.25" customHeight="1">
      <c r="A71" s="63">
        <v>61.0</v>
      </c>
      <c r="B71" s="63" t="s">
        <v>260</v>
      </c>
      <c r="C71" s="63" t="s">
        <v>261</v>
      </c>
      <c r="D71" s="63">
        <v>7.2</v>
      </c>
      <c r="E71" s="63" t="s">
        <v>267</v>
      </c>
      <c r="F71" s="77" t="s">
        <v>269</v>
      </c>
      <c r="G71" s="63"/>
      <c r="H71" s="63" t="s">
        <v>271</v>
      </c>
    </row>
    <row r="72" ht="14.25" customHeight="1">
      <c r="A72" s="63">
        <v>62.0</v>
      </c>
      <c r="B72" s="63" t="s">
        <v>260</v>
      </c>
      <c r="C72" s="63" t="s">
        <v>261</v>
      </c>
      <c r="D72" s="63">
        <v>7.3</v>
      </c>
      <c r="E72" s="63" t="s">
        <v>272</v>
      </c>
      <c r="F72" s="64" t="s">
        <v>273</v>
      </c>
      <c r="G72" s="63"/>
      <c r="H72" s="63" t="s">
        <v>274</v>
      </c>
    </row>
    <row r="73" ht="14.25" customHeight="1">
      <c r="A73" s="63">
        <v>63.0</v>
      </c>
      <c r="B73" s="63" t="s">
        <v>260</v>
      </c>
      <c r="C73" s="63" t="s">
        <v>261</v>
      </c>
      <c r="D73" s="63">
        <v>7.4</v>
      </c>
      <c r="E73" s="63" t="s">
        <v>276</v>
      </c>
      <c r="F73" s="64" t="s">
        <v>278</v>
      </c>
      <c r="G73" s="63"/>
      <c r="H73" s="63" t="s">
        <v>279</v>
      </c>
    </row>
    <row r="74" ht="14.25" customHeight="1">
      <c r="A74" s="63">
        <v>64.0</v>
      </c>
      <c r="B74" s="63" t="s">
        <v>260</v>
      </c>
      <c r="C74" s="63" t="s">
        <v>261</v>
      </c>
      <c r="D74" s="63">
        <v>7.5</v>
      </c>
      <c r="E74" s="63" t="s">
        <v>281</v>
      </c>
      <c r="F74" s="77" t="s">
        <v>46</v>
      </c>
      <c r="G74" s="63"/>
      <c r="H74" s="63" t="s">
        <v>282</v>
      </c>
    </row>
    <row r="75" ht="14.25" customHeight="1">
      <c r="A75" s="63">
        <v>65.0</v>
      </c>
      <c r="B75" s="63" t="s">
        <v>260</v>
      </c>
      <c r="C75" s="63" t="s">
        <v>261</v>
      </c>
      <c r="D75" s="63">
        <v>7.6</v>
      </c>
      <c r="E75" s="63" t="s">
        <v>284</v>
      </c>
      <c r="F75" s="77" t="s">
        <v>46</v>
      </c>
      <c r="G75" s="63"/>
      <c r="H75" s="63" t="s">
        <v>285</v>
      </c>
    </row>
    <row r="76" ht="14.25" customHeight="1">
      <c r="A76" s="63">
        <v>66.0</v>
      </c>
      <c r="B76" s="63" t="s">
        <v>286</v>
      </c>
      <c r="C76" s="63" t="s">
        <v>287</v>
      </c>
      <c r="D76" s="63">
        <v>8.1</v>
      </c>
      <c r="E76" s="63" t="s">
        <v>289</v>
      </c>
      <c r="F76" s="64" t="s">
        <v>290</v>
      </c>
      <c r="G76" s="63"/>
      <c r="H76" s="63" t="s">
        <v>291</v>
      </c>
    </row>
    <row r="77" ht="14.25" customHeight="1">
      <c r="A77" s="63">
        <v>67.0</v>
      </c>
      <c r="B77" s="63" t="s">
        <v>286</v>
      </c>
      <c r="C77" s="63" t="s">
        <v>287</v>
      </c>
      <c r="D77" s="63">
        <v>8.2</v>
      </c>
      <c r="E77" s="63" t="s">
        <v>293</v>
      </c>
      <c r="F77" s="77" t="s">
        <v>46</v>
      </c>
      <c r="G77" s="63"/>
      <c r="H77" s="63" t="s">
        <v>294</v>
      </c>
    </row>
    <row r="78" ht="14.25" customHeight="1">
      <c r="A78" s="63">
        <v>68.0</v>
      </c>
      <c r="B78" s="63" t="s">
        <v>295</v>
      </c>
      <c r="C78" s="63" t="s">
        <v>297</v>
      </c>
      <c r="D78" s="63">
        <v>1.6</v>
      </c>
      <c r="E78" s="63" t="s">
        <v>298</v>
      </c>
      <c r="F78" s="64" t="s">
        <v>299</v>
      </c>
      <c r="G78" s="63"/>
      <c r="H78" s="63" t="s">
        <v>300</v>
      </c>
    </row>
    <row r="79" ht="14.25" customHeight="1">
      <c r="A79" s="63">
        <v>69.0</v>
      </c>
      <c r="B79" s="63" t="s">
        <v>295</v>
      </c>
      <c r="C79" s="63" t="s">
        <v>297</v>
      </c>
      <c r="D79" s="63">
        <v>1.8</v>
      </c>
      <c r="E79" s="63" t="s">
        <v>302</v>
      </c>
      <c r="F79" s="77" t="s">
        <v>46</v>
      </c>
      <c r="G79" s="63"/>
      <c r="H79" s="63" t="s">
        <v>303</v>
      </c>
    </row>
    <row r="80" ht="14.25" customHeight="1">
      <c r="A80" s="63">
        <v>70.0</v>
      </c>
      <c r="B80" s="63" t="s">
        <v>295</v>
      </c>
      <c r="C80" s="63" t="s">
        <v>297</v>
      </c>
      <c r="D80" s="63">
        <v>1.9</v>
      </c>
      <c r="E80" s="63" t="s">
        <v>304</v>
      </c>
      <c r="F80" s="64" t="s">
        <v>305</v>
      </c>
      <c r="G80" s="63"/>
      <c r="H80" s="63" t="s">
        <v>307</v>
      </c>
    </row>
    <row r="81" ht="14.25" customHeight="1">
      <c r="A81" s="63">
        <v>71.0</v>
      </c>
      <c r="B81" s="63" t="s">
        <v>295</v>
      </c>
      <c r="C81" s="63" t="s">
        <v>297</v>
      </c>
      <c r="D81" s="63">
        <v>1.1</v>
      </c>
      <c r="E81" s="63" t="s">
        <v>308</v>
      </c>
      <c r="F81" s="64" t="s">
        <v>309</v>
      </c>
      <c r="G81" s="63"/>
      <c r="H81" s="63" t="s">
        <v>310</v>
      </c>
    </row>
    <row r="82" ht="14.25" customHeight="1">
      <c r="A82" s="63">
        <v>72.0</v>
      </c>
      <c r="B82" s="63" t="s">
        <v>295</v>
      </c>
      <c r="C82" s="63" t="s">
        <v>297</v>
      </c>
      <c r="D82" s="63">
        <v>1.13</v>
      </c>
      <c r="E82" s="63" t="s">
        <v>312</v>
      </c>
      <c r="F82" s="64" t="s">
        <v>313</v>
      </c>
      <c r="G82" s="63"/>
      <c r="H82" s="63" t="s">
        <v>314</v>
      </c>
    </row>
    <row r="83" ht="14.25" customHeight="1">
      <c r="A83" s="63">
        <v>73.0</v>
      </c>
      <c r="B83" s="63" t="s">
        <v>295</v>
      </c>
      <c r="C83" s="63" t="s">
        <v>297</v>
      </c>
      <c r="D83" s="63">
        <v>1.14</v>
      </c>
      <c r="E83" s="63" t="s">
        <v>316</v>
      </c>
      <c r="F83" s="64" t="s">
        <v>317</v>
      </c>
      <c r="G83" s="63"/>
      <c r="H83" s="63" t="s">
        <v>318</v>
      </c>
    </row>
    <row r="84" ht="14.25" customHeight="1">
      <c r="A84" s="63">
        <v>74.0</v>
      </c>
      <c r="B84" s="63" t="s">
        <v>295</v>
      </c>
      <c r="C84" s="63" t="s">
        <v>297</v>
      </c>
      <c r="D84" s="63">
        <v>1.15</v>
      </c>
      <c r="E84" s="63" t="s">
        <v>319</v>
      </c>
      <c r="F84" s="64" t="s">
        <v>320</v>
      </c>
      <c r="G84" s="63"/>
      <c r="H84" s="63" t="s">
        <v>322</v>
      </c>
    </row>
    <row r="85" ht="14.25" customHeight="1">
      <c r="A85" s="63">
        <v>75.0</v>
      </c>
      <c r="B85" s="63" t="s">
        <v>295</v>
      </c>
      <c r="C85" s="63" t="s">
        <v>297</v>
      </c>
      <c r="D85" s="63">
        <v>1.16</v>
      </c>
      <c r="E85" s="63" t="s">
        <v>324</v>
      </c>
      <c r="F85" s="64" t="s">
        <v>325</v>
      </c>
      <c r="G85" s="63"/>
      <c r="H85" s="63" t="s">
        <v>326</v>
      </c>
    </row>
    <row r="86" ht="14.25" customHeight="1">
      <c r="A86" s="63">
        <v>76.0</v>
      </c>
      <c r="B86" s="63" t="s">
        <v>328</v>
      </c>
      <c r="C86" s="63" t="s">
        <v>329</v>
      </c>
      <c r="D86" s="63">
        <v>4.1</v>
      </c>
      <c r="E86" s="63" t="s">
        <v>330</v>
      </c>
      <c r="F86" s="64" t="s">
        <v>331</v>
      </c>
      <c r="G86" s="63"/>
      <c r="H86" s="63" t="s">
        <v>332</v>
      </c>
    </row>
    <row r="87" ht="14.25" customHeight="1">
      <c r="A87" s="63">
        <v>77.0</v>
      </c>
      <c r="B87" s="63" t="s">
        <v>328</v>
      </c>
      <c r="C87" s="63" t="s">
        <v>329</v>
      </c>
      <c r="D87" s="63">
        <v>4.2</v>
      </c>
      <c r="E87" s="63" t="s">
        <v>334</v>
      </c>
      <c r="F87" s="77" t="s">
        <v>46</v>
      </c>
      <c r="G87" s="63"/>
      <c r="H87" s="63" t="s">
        <v>335</v>
      </c>
    </row>
    <row r="88" ht="14.25" customHeight="1">
      <c r="A88" s="63">
        <v>78.0</v>
      </c>
      <c r="B88" s="63" t="s">
        <v>336</v>
      </c>
      <c r="C88" s="63" t="s">
        <v>337</v>
      </c>
      <c r="D88" s="63">
        <v>5.1</v>
      </c>
      <c r="E88" s="63" t="s">
        <v>338</v>
      </c>
      <c r="F88" s="64" t="s">
        <v>339</v>
      </c>
      <c r="G88" s="63"/>
      <c r="H88" s="63" t="s">
        <v>340</v>
      </c>
    </row>
    <row r="89" ht="14.25" customHeight="1">
      <c r="A89" s="63">
        <v>79.0</v>
      </c>
      <c r="B89" s="63" t="s">
        <v>336</v>
      </c>
      <c r="C89" s="63" t="s">
        <v>337</v>
      </c>
      <c r="D89" s="63">
        <v>5.2</v>
      </c>
      <c r="E89" s="63" t="s">
        <v>343</v>
      </c>
      <c r="F89" s="64" t="s">
        <v>344</v>
      </c>
      <c r="G89" s="63"/>
      <c r="H89" s="63" t="s">
        <v>345</v>
      </c>
    </row>
    <row r="90" ht="14.25" customHeight="1">
      <c r="A90" s="63">
        <v>80.0</v>
      </c>
      <c r="B90" s="63" t="s">
        <v>336</v>
      </c>
      <c r="C90" s="63" t="s">
        <v>337</v>
      </c>
      <c r="D90" s="63">
        <v>5.3</v>
      </c>
      <c r="E90" s="63" t="s">
        <v>347</v>
      </c>
      <c r="F90" s="64" t="s">
        <v>348</v>
      </c>
      <c r="G90" s="63"/>
      <c r="H90" s="63" t="s">
        <v>349</v>
      </c>
    </row>
    <row r="91" ht="14.25" customHeight="1">
      <c r="A91" s="63">
        <v>81.0</v>
      </c>
      <c r="B91" s="63" t="s">
        <v>336</v>
      </c>
      <c r="C91" s="63" t="s">
        <v>337</v>
      </c>
      <c r="D91" s="63">
        <v>5.5</v>
      </c>
      <c r="E91" s="63" t="s">
        <v>350</v>
      </c>
      <c r="F91" s="64" t="s">
        <v>351</v>
      </c>
      <c r="G91" s="63"/>
      <c r="H91" s="63" t="s">
        <v>352</v>
      </c>
    </row>
    <row r="92" ht="14.25" customHeight="1">
      <c r="A92" s="63">
        <v>82.0</v>
      </c>
      <c r="B92" s="63" t="s">
        <v>336</v>
      </c>
      <c r="C92" s="63" t="s">
        <v>337</v>
      </c>
      <c r="D92" s="63">
        <v>5.6</v>
      </c>
      <c r="E92" s="63" t="s">
        <v>354</v>
      </c>
      <c r="F92" s="77" t="s">
        <v>46</v>
      </c>
      <c r="G92" s="63"/>
      <c r="H92" s="63" t="s">
        <v>355</v>
      </c>
    </row>
    <row r="93" ht="14.25" customHeight="1">
      <c r="A93" s="63">
        <v>83.0</v>
      </c>
      <c r="B93" s="63" t="s">
        <v>356</v>
      </c>
      <c r="C93" s="63" t="s">
        <v>357</v>
      </c>
      <c r="D93" s="63">
        <v>6.11</v>
      </c>
      <c r="E93" s="63" t="s">
        <v>359</v>
      </c>
      <c r="F93" s="64" t="s">
        <v>360</v>
      </c>
      <c r="G93" s="63"/>
      <c r="H93" s="63" t="s">
        <v>361</v>
      </c>
    </row>
    <row r="94" ht="14.25" customHeight="1">
      <c r="F94" s="69"/>
      <c r="G94" s="69"/>
      <c r="H94" s="81"/>
    </row>
    <row r="95" ht="14.25" customHeight="1">
      <c r="F95" s="69"/>
      <c r="G95" s="69"/>
      <c r="H95" s="81"/>
    </row>
    <row r="96" ht="14.25" customHeight="1">
      <c r="F96" s="69"/>
      <c r="G96" s="69"/>
      <c r="H96" s="81"/>
    </row>
    <row r="97" ht="14.25" customHeight="1">
      <c r="F97" s="69"/>
      <c r="G97" s="69"/>
      <c r="H97" s="81"/>
    </row>
    <row r="98" ht="14.25" customHeight="1">
      <c r="F98" s="69"/>
      <c r="G98" s="69"/>
      <c r="H98" s="81"/>
    </row>
    <row r="99" ht="14.25" customHeight="1">
      <c r="F99" s="69"/>
      <c r="G99" s="69"/>
      <c r="H99" s="81"/>
    </row>
    <row r="100" ht="14.25" customHeight="1">
      <c r="F100" s="69"/>
      <c r="G100" s="69"/>
      <c r="H100" s="81"/>
    </row>
    <row r="101" ht="14.25" customHeight="1">
      <c r="F101" s="69"/>
      <c r="G101" s="69"/>
      <c r="H101" s="81"/>
    </row>
    <row r="102" ht="14.25" customHeight="1">
      <c r="F102" s="69"/>
      <c r="G102" s="69"/>
      <c r="H102" s="81"/>
    </row>
    <row r="103" ht="14.25" customHeight="1">
      <c r="F103" s="69"/>
      <c r="G103" s="69"/>
      <c r="H103" s="81"/>
    </row>
    <row r="104" ht="14.25" customHeight="1">
      <c r="F104" s="69"/>
      <c r="G104" s="69"/>
      <c r="H104" s="81"/>
    </row>
    <row r="105" ht="14.25" customHeight="1">
      <c r="F105" s="69"/>
      <c r="G105" s="69"/>
      <c r="H105" s="81"/>
    </row>
    <row r="106" ht="14.25" customHeight="1">
      <c r="F106" s="69"/>
      <c r="G106" s="69"/>
      <c r="H106" s="81"/>
    </row>
    <row r="107" ht="14.25" customHeight="1">
      <c r="F107" s="69"/>
      <c r="G107" s="69"/>
      <c r="H107" s="81"/>
    </row>
    <row r="108" ht="14.25" customHeight="1">
      <c r="F108" s="69"/>
      <c r="G108" s="69"/>
      <c r="H108" s="81"/>
    </row>
    <row r="109" ht="14.25" customHeight="1">
      <c r="F109" s="69"/>
      <c r="G109" s="69"/>
      <c r="H109" s="81"/>
    </row>
    <row r="110" ht="14.25" customHeight="1">
      <c r="F110" s="69"/>
      <c r="G110" s="69"/>
      <c r="H110" s="81"/>
    </row>
    <row r="111" ht="14.25" customHeight="1">
      <c r="F111" s="69"/>
      <c r="G111" s="69"/>
      <c r="H111" s="81"/>
    </row>
    <row r="112" ht="14.25" customHeight="1">
      <c r="F112" s="69"/>
      <c r="G112" s="69"/>
      <c r="H112" s="81"/>
    </row>
    <row r="113" ht="14.25" customHeight="1">
      <c r="F113" s="69"/>
      <c r="G113" s="69"/>
      <c r="H113" s="81"/>
    </row>
    <row r="114" ht="14.25" customHeight="1">
      <c r="F114" s="69"/>
      <c r="G114" s="69"/>
      <c r="H114" s="81"/>
    </row>
    <row r="115" ht="14.25" customHeight="1">
      <c r="F115" s="69"/>
      <c r="G115" s="69"/>
      <c r="H115" s="81"/>
    </row>
    <row r="116" ht="14.25" customHeight="1">
      <c r="F116" s="69"/>
      <c r="G116" s="69"/>
      <c r="H116" s="81"/>
    </row>
    <row r="117" ht="14.25" customHeight="1">
      <c r="F117" s="69"/>
      <c r="G117" s="69"/>
      <c r="H117" s="81"/>
    </row>
    <row r="118" ht="14.25" customHeight="1">
      <c r="F118" s="69"/>
      <c r="G118" s="69"/>
      <c r="H118" s="81"/>
    </row>
    <row r="119" ht="14.25" customHeight="1">
      <c r="F119" s="69"/>
      <c r="G119" s="69"/>
      <c r="H119" s="81"/>
    </row>
    <row r="120" ht="14.25" customHeight="1">
      <c r="F120" s="69"/>
      <c r="G120" s="69"/>
      <c r="H120" s="81"/>
    </row>
    <row r="121" ht="14.25" customHeight="1">
      <c r="F121" s="69"/>
      <c r="G121" s="69"/>
      <c r="H121" s="81"/>
    </row>
    <row r="122" ht="14.25" customHeight="1">
      <c r="F122" s="69"/>
      <c r="G122" s="69"/>
      <c r="H122" s="81"/>
    </row>
    <row r="123" ht="14.25" customHeight="1">
      <c r="F123" s="69"/>
      <c r="G123" s="69"/>
      <c r="H123" s="81"/>
    </row>
    <row r="124" ht="14.25" customHeight="1">
      <c r="F124" s="69"/>
      <c r="G124" s="69"/>
      <c r="H124" s="81"/>
    </row>
    <row r="125" ht="14.25" customHeight="1">
      <c r="F125" s="69"/>
      <c r="G125" s="69"/>
      <c r="H125" s="81"/>
    </row>
    <row r="126" ht="14.25" customHeight="1">
      <c r="F126" s="69"/>
      <c r="G126" s="69"/>
      <c r="H126" s="81"/>
    </row>
    <row r="127" ht="14.25" customHeight="1">
      <c r="F127" s="69"/>
      <c r="G127" s="69"/>
      <c r="H127" s="81"/>
    </row>
    <row r="128" ht="14.25" customHeight="1">
      <c r="F128" s="69"/>
      <c r="G128" s="69"/>
      <c r="H128" s="81"/>
    </row>
    <row r="129" ht="14.25" customHeight="1">
      <c r="F129" s="69"/>
      <c r="G129" s="69"/>
      <c r="H129" s="81"/>
    </row>
    <row r="130" ht="14.25" customHeight="1">
      <c r="F130" s="69"/>
      <c r="G130" s="69"/>
      <c r="H130" s="81"/>
    </row>
    <row r="131" ht="14.25" customHeight="1">
      <c r="F131" s="69"/>
      <c r="G131" s="69"/>
      <c r="H131" s="81"/>
    </row>
    <row r="132" ht="14.25" customHeight="1">
      <c r="F132" s="69"/>
      <c r="G132" s="69"/>
      <c r="H132" s="81"/>
    </row>
    <row r="133" ht="14.25" customHeight="1">
      <c r="F133" s="69"/>
      <c r="G133" s="69"/>
      <c r="H133" s="81"/>
    </row>
    <row r="134" ht="14.25" customHeight="1">
      <c r="F134" s="69"/>
      <c r="G134" s="69"/>
      <c r="H134" s="81"/>
    </row>
    <row r="135" ht="14.25" customHeight="1">
      <c r="F135" s="69"/>
      <c r="G135" s="69"/>
      <c r="H135" s="81"/>
    </row>
    <row r="136" ht="14.25" customHeight="1">
      <c r="F136" s="69"/>
      <c r="G136" s="69"/>
      <c r="H136" s="81"/>
    </row>
    <row r="137" ht="14.25" customHeight="1">
      <c r="F137" s="69"/>
      <c r="G137" s="69"/>
      <c r="H137" s="81"/>
    </row>
    <row r="138" ht="14.25" customHeight="1">
      <c r="F138" s="69"/>
      <c r="G138" s="69"/>
      <c r="H138" s="81"/>
    </row>
    <row r="139" ht="14.25" customHeight="1">
      <c r="F139" s="69"/>
      <c r="G139" s="69"/>
      <c r="H139" s="81"/>
    </row>
    <row r="140" ht="14.25" customHeight="1">
      <c r="F140" s="69"/>
      <c r="G140" s="69"/>
      <c r="H140" s="81"/>
    </row>
    <row r="141" ht="14.25" customHeight="1">
      <c r="F141" s="69"/>
      <c r="G141" s="69"/>
      <c r="H141" s="81"/>
    </row>
    <row r="142" ht="14.25" customHeight="1">
      <c r="F142" s="69"/>
      <c r="G142" s="69"/>
      <c r="H142" s="81"/>
    </row>
    <row r="143" ht="14.25" customHeight="1">
      <c r="F143" s="69"/>
      <c r="G143" s="69"/>
      <c r="H143" s="81"/>
    </row>
    <row r="144" ht="14.25" customHeight="1">
      <c r="F144" s="69"/>
      <c r="G144" s="69"/>
      <c r="H144" s="81"/>
    </row>
    <row r="145" ht="14.25" customHeight="1">
      <c r="F145" s="69"/>
      <c r="G145" s="69"/>
      <c r="H145" s="81"/>
    </row>
    <row r="146" ht="14.25" customHeight="1">
      <c r="F146" s="69"/>
      <c r="G146" s="69"/>
      <c r="H146" s="81"/>
    </row>
    <row r="147" ht="14.25" customHeight="1">
      <c r="F147" s="69"/>
      <c r="G147" s="69"/>
      <c r="H147" s="81"/>
    </row>
    <row r="148" ht="14.25" customHeight="1">
      <c r="F148" s="69"/>
      <c r="G148" s="69"/>
      <c r="H148" s="81"/>
    </row>
    <row r="149" ht="14.25" customHeight="1">
      <c r="F149" s="69"/>
      <c r="G149" s="69"/>
      <c r="H149" s="81"/>
    </row>
    <row r="150" ht="14.25" customHeight="1">
      <c r="F150" s="69"/>
      <c r="G150" s="69"/>
      <c r="H150" s="81"/>
    </row>
    <row r="151" ht="14.25" customHeight="1">
      <c r="F151" s="69"/>
      <c r="G151" s="69"/>
      <c r="H151" s="81"/>
    </row>
    <row r="152" ht="14.25" customHeight="1">
      <c r="F152" s="69"/>
      <c r="G152" s="69"/>
      <c r="H152" s="81"/>
    </row>
    <row r="153" ht="14.25" customHeight="1">
      <c r="F153" s="69"/>
      <c r="G153" s="69"/>
      <c r="H153" s="81"/>
    </row>
    <row r="154" ht="14.25" customHeight="1">
      <c r="F154" s="69"/>
      <c r="G154" s="69"/>
      <c r="H154" s="81"/>
    </row>
    <row r="155" ht="14.25" customHeight="1">
      <c r="F155" s="69"/>
      <c r="G155" s="69"/>
      <c r="H155" s="81"/>
    </row>
    <row r="156" ht="14.25" customHeight="1">
      <c r="F156" s="69"/>
      <c r="G156" s="69"/>
      <c r="H156" s="81"/>
    </row>
    <row r="157" ht="14.25" customHeight="1">
      <c r="F157" s="69"/>
      <c r="G157" s="69"/>
      <c r="H157" s="81"/>
    </row>
    <row r="158" ht="14.25" customHeight="1">
      <c r="F158" s="69"/>
      <c r="G158" s="69"/>
      <c r="H158" s="81"/>
    </row>
    <row r="159" ht="14.25" customHeight="1">
      <c r="F159" s="69"/>
      <c r="G159" s="69"/>
      <c r="H159" s="81"/>
    </row>
    <row r="160" ht="14.25" customHeight="1">
      <c r="F160" s="69"/>
      <c r="G160" s="69"/>
      <c r="H160" s="81"/>
    </row>
    <row r="161" ht="14.25" customHeight="1">
      <c r="F161" s="69"/>
      <c r="G161" s="69"/>
      <c r="H161" s="81"/>
    </row>
    <row r="162" ht="14.25" customHeight="1">
      <c r="F162" s="69"/>
      <c r="G162" s="69"/>
      <c r="H162" s="81"/>
    </row>
    <row r="163" ht="14.25" customHeight="1">
      <c r="F163" s="69"/>
      <c r="G163" s="69"/>
      <c r="H163" s="81"/>
    </row>
    <row r="164" ht="14.25" customHeight="1">
      <c r="F164" s="69"/>
      <c r="G164" s="69"/>
      <c r="H164" s="81"/>
    </row>
    <row r="165" ht="14.25" customHeight="1">
      <c r="F165" s="69"/>
      <c r="G165" s="69"/>
      <c r="H165" s="81"/>
    </row>
    <row r="166" ht="14.25" customHeight="1">
      <c r="F166" s="69"/>
      <c r="G166" s="69"/>
      <c r="H166" s="81"/>
    </row>
    <row r="167" ht="14.25" customHeight="1">
      <c r="F167" s="69"/>
      <c r="G167" s="69"/>
      <c r="H167" s="81"/>
    </row>
    <row r="168" ht="14.25" customHeight="1">
      <c r="F168" s="69"/>
      <c r="G168" s="69"/>
      <c r="H168" s="81"/>
    </row>
    <row r="169" ht="14.25" customHeight="1">
      <c r="F169" s="69"/>
      <c r="G169" s="69"/>
      <c r="H169" s="81"/>
    </row>
    <row r="170" ht="14.25" customHeight="1">
      <c r="F170" s="69"/>
      <c r="G170" s="69"/>
      <c r="H170" s="81"/>
    </row>
    <row r="171" ht="14.25" customHeight="1">
      <c r="F171" s="69"/>
      <c r="G171" s="69"/>
      <c r="H171" s="81"/>
    </row>
    <row r="172" ht="14.25" customHeight="1">
      <c r="F172" s="69"/>
      <c r="G172" s="69"/>
      <c r="H172" s="81"/>
    </row>
    <row r="173" ht="14.25" customHeight="1">
      <c r="F173" s="69"/>
      <c r="G173" s="69"/>
      <c r="H173" s="81"/>
    </row>
    <row r="174" ht="14.25" customHeight="1">
      <c r="F174" s="69"/>
      <c r="G174" s="69"/>
      <c r="H174" s="81"/>
    </row>
    <row r="175" ht="14.25" customHeight="1">
      <c r="F175" s="69"/>
      <c r="G175" s="69"/>
      <c r="H175" s="81"/>
    </row>
    <row r="176" ht="14.25" customHeight="1">
      <c r="F176" s="69"/>
      <c r="G176" s="69"/>
      <c r="H176" s="81"/>
    </row>
    <row r="177" ht="14.25" customHeight="1">
      <c r="F177" s="69"/>
      <c r="G177" s="69"/>
      <c r="H177" s="81"/>
    </row>
    <row r="178" ht="14.25" customHeight="1">
      <c r="F178" s="69"/>
      <c r="G178" s="69"/>
      <c r="H178" s="81"/>
    </row>
    <row r="179" ht="14.25" customHeight="1">
      <c r="F179" s="69"/>
      <c r="G179" s="69"/>
      <c r="H179" s="81"/>
    </row>
    <row r="180" ht="14.25" customHeight="1">
      <c r="F180" s="69"/>
      <c r="G180" s="69"/>
      <c r="H180" s="81"/>
    </row>
    <row r="181" ht="14.25" customHeight="1">
      <c r="F181" s="69"/>
      <c r="G181" s="69"/>
      <c r="H181" s="81"/>
    </row>
    <row r="182" ht="14.25" customHeight="1">
      <c r="F182" s="69"/>
      <c r="G182" s="69"/>
      <c r="H182" s="81"/>
    </row>
    <row r="183" ht="14.25" customHeight="1">
      <c r="F183" s="69"/>
      <c r="G183" s="69"/>
      <c r="H183" s="81"/>
    </row>
    <row r="184" ht="14.25" customHeight="1">
      <c r="F184" s="69"/>
      <c r="G184" s="69"/>
      <c r="H184" s="81"/>
    </row>
    <row r="185" ht="14.25" customHeight="1">
      <c r="F185" s="69"/>
      <c r="G185" s="69"/>
      <c r="H185" s="81"/>
    </row>
    <row r="186" ht="14.25" customHeight="1">
      <c r="F186" s="69"/>
      <c r="G186" s="69"/>
      <c r="H186" s="81"/>
    </row>
    <row r="187" ht="14.25" customHeight="1">
      <c r="F187" s="69"/>
      <c r="G187" s="69"/>
      <c r="H187" s="81"/>
    </row>
    <row r="188" ht="14.25" customHeight="1">
      <c r="F188" s="69"/>
      <c r="G188" s="69"/>
      <c r="H188" s="81"/>
    </row>
    <row r="189" ht="14.25" customHeight="1">
      <c r="F189" s="69"/>
      <c r="G189" s="69"/>
      <c r="H189" s="81"/>
    </row>
    <row r="190" ht="14.25" customHeight="1">
      <c r="F190" s="69"/>
      <c r="G190" s="69"/>
      <c r="H190" s="81"/>
    </row>
    <row r="191" ht="14.25" customHeight="1">
      <c r="F191" s="69"/>
      <c r="G191" s="69"/>
      <c r="H191" s="81"/>
    </row>
    <row r="192" ht="14.25" customHeight="1">
      <c r="F192" s="69"/>
      <c r="G192" s="69"/>
      <c r="H192" s="81"/>
    </row>
    <row r="193" ht="14.25" customHeight="1">
      <c r="F193" s="69"/>
      <c r="G193" s="69"/>
      <c r="H193" s="81"/>
    </row>
    <row r="194" ht="14.25" customHeight="1">
      <c r="F194" s="69"/>
      <c r="G194" s="69"/>
      <c r="H194" s="81"/>
    </row>
    <row r="195" ht="14.25" customHeight="1">
      <c r="F195" s="69"/>
      <c r="G195" s="69"/>
      <c r="H195" s="81"/>
    </row>
    <row r="196" ht="14.25" customHeight="1">
      <c r="F196" s="69"/>
      <c r="G196" s="69"/>
      <c r="H196" s="81"/>
    </row>
    <row r="197" ht="14.25" customHeight="1">
      <c r="F197" s="69"/>
      <c r="G197" s="69"/>
      <c r="H197" s="81"/>
    </row>
    <row r="198" ht="14.25" customHeight="1">
      <c r="F198" s="69"/>
      <c r="G198" s="69"/>
      <c r="H198" s="81"/>
    </row>
    <row r="199" ht="14.25" customHeight="1">
      <c r="F199" s="69"/>
      <c r="G199" s="69"/>
      <c r="H199" s="81"/>
    </row>
    <row r="200" ht="14.25" customHeight="1">
      <c r="F200" s="69"/>
      <c r="G200" s="69"/>
      <c r="H200" s="81"/>
    </row>
    <row r="201" ht="14.25" customHeight="1">
      <c r="F201" s="69"/>
      <c r="G201" s="69"/>
      <c r="H201" s="81"/>
    </row>
    <row r="202" ht="14.25" customHeight="1">
      <c r="F202" s="69"/>
      <c r="G202" s="69"/>
      <c r="H202" s="81"/>
    </row>
    <row r="203" ht="14.25" customHeight="1">
      <c r="F203" s="69"/>
      <c r="G203" s="69"/>
      <c r="H203" s="81"/>
    </row>
    <row r="204" ht="14.25" customHeight="1">
      <c r="F204" s="69"/>
      <c r="G204" s="69"/>
      <c r="H204" s="81"/>
    </row>
    <row r="205" ht="14.25" customHeight="1">
      <c r="F205" s="69"/>
      <c r="G205" s="69"/>
      <c r="H205" s="81"/>
    </row>
    <row r="206" ht="14.25" customHeight="1">
      <c r="F206" s="69"/>
      <c r="G206" s="69"/>
      <c r="H206" s="81"/>
    </row>
    <row r="207" ht="14.25" customHeight="1">
      <c r="F207" s="69"/>
      <c r="G207" s="69"/>
      <c r="H207" s="81"/>
    </row>
    <row r="208" ht="14.25" customHeight="1">
      <c r="F208" s="69"/>
      <c r="G208" s="69"/>
      <c r="H208" s="81"/>
    </row>
    <row r="209" ht="14.25" customHeight="1">
      <c r="F209" s="69"/>
      <c r="G209" s="69"/>
      <c r="H209" s="81"/>
    </row>
    <row r="210" ht="14.25" customHeight="1">
      <c r="F210" s="69"/>
      <c r="G210" s="69"/>
      <c r="H210" s="81"/>
    </row>
    <row r="211" ht="14.25" customHeight="1">
      <c r="F211" s="69"/>
      <c r="G211" s="69"/>
      <c r="H211" s="81"/>
    </row>
    <row r="212" ht="14.25" customHeight="1">
      <c r="F212" s="69"/>
      <c r="G212" s="69"/>
      <c r="H212" s="81"/>
    </row>
    <row r="213" ht="14.25" customHeight="1">
      <c r="F213" s="69"/>
      <c r="G213" s="69"/>
      <c r="H213" s="81"/>
    </row>
    <row r="214" ht="14.25" customHeight="1">
      <c r="F214" s="69"/>
      <c r="G214" s="69"/>
      <c r="H214" s="81"/>
    </row>
    <row r="215" ht="14.25" customHeight="1">
      <c r="F215" s="69"/>
      <c r="G215" s="69"/>
      <c r="H215" s="81"/>
    </row>
    <row r="216" ht="14.25" customHeight="1">
      <c r="F216" s="69"/>
      <c r="G216" s="69"/>
      <c r="H216" s="81"/>
    </row>
    <row r="217" ht="14.25" customHeight="1">
      <c r="F217" s="69"/>
      <c r="G217" s="69"/>
      <c r="H217" s="81"/>
    </row>
    <row r="218" ht="14.25" customHeight="1">
      <c r="F218" s="69"/>
      <c r="G218" s="69"/>
      <c r="H218" s="81"/>
    </row>
    <row r="219" ht="14.25" customHeight="1">
      <c r="F219" s="69"/>
      <c r="G219" s="69"/>
      <c r="H219" s="81"/>
    </row>
    <row r="220" ht="14.25" customHeight="1">
      <c r="F220" s="69"/>
      <c r="G220" s="69"/>
      <c r="H220" s="81"/>
    </row>
    <row r="221" ht="14.25" customHeight="1">
      <c r="F221" s="69"/>
      <c r="G221" s="69"/>
      <c r="H221" s="81"/>
    </row>
    <row r="222" ht="14.25" customHeight="1">
      <c r="F222" s="69"/>
      <c r="G222" s="69"/>
      <c r="H222" s="81"/>
    </row>
    <row r="223" ht="14.25" customHeight="1">
      <c r="F223" s="69"/>
      <c r="G223" s="69"/>
      <c r="H223" s="81"/>
    </row>
    <row r="224" ht="14.25" customHeight="1">
      <c r="F224" s="69"/>
      <c r="G224" s="69"/>
      <c r="H224" s="81"/>
    </row>
    <row r="225" ht="14.25" customHeight="1">
      <c r="F225" s="69"/>
      <c r="G225" s="69"/>
      <c r="H225" s="81"/>
    </row>
    <row r="226" ht="14.25" customHeight="1">
      <c r="F226" s="69"/>
      <c r="G226" s="69"/>
      <c r="H226" s="81"/>
    </row>
    <row r="227" ht="14.25" customHeight="1">
      <c r="F227" s="69"/>
      <c r="G227" s="69"/>
      <c r="H227" s="81"/>
    </row>
    <row r="228" ht="14.25" customHeight="1">
      <c r="F228" s="69"/>
      <c r="G228" s="69"/>
      <c r="H228" s="81"/>
    </row>
    <row r="229" ht="14.25" customHeight="1">
      <c r="F229" s="69"/>
      <c r="G229" s="69"/>
      <c r="H229" s="81"/>
    </row>
    <row r="230" ht="14.25" customHeight="1">
      <c r="F230" s="69"/>
      <c r="G230" s="69"/>
      <c r="H230" s="81"/>
    </row>
    <row r="231" ht="14.25" customHeight="1">
      <c r="F231" s="69"/>
      <c r="G231" s="69"/>
      <c r="H231" s="81"/>
    </row>
    <row r="232" ht="14.25" customHeight="1">
      <c r="F232" s="69"/>
      <c r="G232" s="69"/>
      <c r="H232" s="81"/>
    </row>
    <row r="233" ht="14.25" customHeight="1">
      <c r="F233" s="69"/>
      <c r="G233" s="69"/>
      <c r="H233" s="81"/>
    </row>
    <row r="234" ht="14.25" customHeight="1">
      <c r="F234" s="69"/>
      <c r="G234" s="69"/>
      <c r="H234" s="81"/>
    </row>
    <row r="235" ht="14.25" customHeight="1">
      <c r="F235" s="69"/>
      <c r="G235" s="69"/>
      <c r="H235" s="81"/>
    </row>
    <row r="236" ht="14.25" customHeight="1">
      <c r="F236" s="69"/>
      <c r="G236" s="69"/>
      <c r="H236" s="81"/>
    </row>
    <row r="237" ht="14.25" customHeight="1">
      <c r="F237" s="69"/>
      <c r="G237" s="69"/>
      <c r="H237" s="81"/>
    </row>
    <row r="238" ht="14.25" customHeight="1">
      <c r="F238" s="69"/>
      <c r="G238" s="69"/>
      <c r="H238" s="81"/>
    </row>
    <row r="239" ht="14.25" customHeight="1">
      <c r="F239" s="69"/>
      <c r="G239" s="69"/>
      <c r="H239" s="81"/>
    </row>
    <row r="240" ht="14.25" customHeight="1">
      <c r="F240" s="69"/>
      <c r="G240" s="69"/>
      <c r="H240" s="81"/>
    </row>
    <row r="241" ht="14.25" customHeight="1">
      <c r="F241" s="69"/>
      <c r="G241" s="69"/>
      <c r="H241" s="81"/>
    </row>
    <row r="242" ht="14.25" customHeight="1">
      <c r="F242" s="69"/>
      <c r="G242" s="69"/>
      <c r="H242" s="81"/>
    </row>
    <row r="243" ht="14.25" customHeight="1">
      <c r="F243" s="69"/>
      <c r="G243" s="69"/>
      <c r="H243" s="81"/>
    </row>
    <row r="244" ht="14.25" customHeight="1">
      <c r="F244" s="69"/>
      <c r="G244" s="69"/>
      <c r="H244" s="81"/>
    </row>
    <row r="245" ht="14.25" customHeight="1">
      <c r="F245" s="69"/>
      <c r="G245" s="69"/>
      <c r="H245" s="81"/>
    </row>
    <row r="246" ht="14.25" customHeight="1">
      <c r="F246" s="69"/>
      <c r="G246" s="69"/>
      <c r="H246" s="81"/>
    </row>
    <row r="247" ht="14.25" customHeight="1">
      <c r="F247" s="69"/>
      <c r="G247" s="69"/>
      <c r="H247" s="81"/>
    </row>
    <row r="248" ht="14.25" customHeight="1">
      <c r="F248" s="69"/>
      <c r="G248" s="69"/>
      <c r="H248" s="81"/>
    </row>
    <row r="249" ht="14.25" customHeight="1">
      <c r="F249" s="69"/>
      <c r="G249" s="69"/>
      <c r="H249" s="81"/>
    </row>
    <row r="250" ht="14.25" customHeight="1">
      <c r="F250" s="69"/>
      <c r="G250" s="69"/>
      <c r="H250" s="81"/>
    </row>
    <row r="251" ht="14.25" customHeight="1">
      <c r="F251" s="69"/>
      <c r="G251" s="69"/>
      <c r="H251" s="81"/>
    </row>
    <row r="252" ht="14.25" customHeight="1">
      <c r="F252" s="69"/>
      <c r="G252" s="69"/>
      <c r="H252" s="81"/>
    </row>
    <row r="253" ht="14.25" customHeight="1">
      <c r="F253" s="69"/>
      <c r="G253" s="69"/>
      <c r="H253" s="81"/>
    </row>
    <row r="254" ht="14.25" customHeight="1">
      <c r="F254" s="69"/>
      <c r="G254" s="69"/>
      <c r="H254" s="81"/>
    </row>
    <row r="255" ht="14.25" customHeight="1">
      <c r="F255" s="69"/>
      <c r="G255" s="69"/>
      <c r="H255" s="81"/>
    </row>
    <row r="256" ht="14.25" customHeight="1">
      <c r="F256" s="69"/>
      <c r="G256" s="69"/>
      <c r="H256" s="81"/>
    </row>
    <row r="257" ht="14.25" customHeight="1">
      <c r="F257" s="69"/>
      <c r="G257" s="69"/>
      <c r="H257" s="81"/>
    </row>
    <row r="258" ht="14.25" customHeight="1">
      <c r="F258" s="69"/>
      <c r="G258" s="69"/>
      <c r="H258" s="81"/>
    </row>
    <row r="259" ht="14.25" customHeight="1">
      <c r="F259" s="69"/>
      <c r="G259" s="69"/>
      <c r="H259" s="81"/>
    </row>
    <row r="260" ht="14.25" customHeight="1">
      <c r="F260" s="69"/>
      <c r="G260" s="69"/>
      <c r="H260" s="81"/>
    </row>
    <row r="261" ht="14.25" customHeight="1">
      <c r="F261" s="69"/>
      <c r="G261" s="69"/>
      <c r="H261" s="81"/>
    </row>
    <row r="262" ht="14.25" customHeight="1">
      <c r="F262" s="69"/>
      <c r="G262" s="69"/>
      <c r="H262" s="81"/>
    </row>
    <row r="263" ht="14.25" customHeight="1">
      <c r="F263" s="69"/>
      <c r="G263" s="69"/>
      <c r="H263" s="81"/>
    </row>
    <row r="264" ht="14.25" customHeight="1">
      <c r="F264" s="69"/>
      <c r="G264" s="69"/>
      <c r="H264" s="81"/>
    </row>
    <row r="265" ht="14.25" customHeight="1">
      <c r="F265" s="69"/>
      <c r="G265" s="69"/>
      <c r="H265" s="81"/>
    </row>
    <row r="266" ht="14.25" customHeight="1">
      <c r="F266" s="69"/>
      <c r="G266" s="69"/>
      <c r="H266" s="81"/>
    </row>
    <row r="267" ht="14.25" customHeight="1">
      <c r="F267" s="69"/>
      <c r="G267" s="69"/>
      <c r="H267" s="81"/>
    </row>
    <row r="268" ht="14.25" customHeight="1">
      <c r="F268" s="69"/>
      <c r="G268" s="69"/>
      <c r="H268" s="81"/>
    </row>
    <row r="269" ht="14.25" customHeight="1">
      <c r="F269" s="69"/>
      <c r="G269" s="69"/>
      <c r="H269" s="81"/>
    </row>
    <row r="270" ht="14.25" customHeight="1">
      <c r="F270" s="69"/>
      <c r="G270" s="69"/>
      <c r="H270" s="81"/>
    </row>
    <row r="271" ht="14.25" customHeight="1">
      <c r="F271" s="69"/>
      <c r="G271" s="69"/>
      <c r="H271" s="81"/>
    </row>
    <row r="272" ht="14.25" customHeight="1">
      <c r="F272" s="69"/>
      <c r="G272" s="69"/>
      <c r="H272" s="81"/>
    </row>
    <row r="273" ht="14.25" customHeight="1">
      <c r="F273" s="69"/>
      <c r="G273" s="69"/>
      <c r="H273" s="81"/>
    </row>
    <row r="274" ht="14.25" customHeight="1">
      <c r="F274" s="69"/>
      <c r="G274" s="69"/>
      <c r="H274" s="81"/>
    </row>
    <row r="275" ht="14.25" customHeight="1">
      <c r="F275" s="69"/>
      <c r="G275" s="69"/>
      <c r="H275" s="81"/>
    </row>
    <row r="276" ht="14.25" customHeight="1">
      <c r="F276" s="69"/>
      <c r="G276" s="69"/>
      <c r="H276" s="81"/>
    </row>
    <row r="277" ht="14.25" customHeight="1">
      <c r="F277" s="69"/>
      <c r="G277" s="69"/>
      <c r="H277" s="81"/>
    </row>
    <row r="278" ht="14.25" customHeight="1">
      <c r="F278" s="69"/>
      <c r="G278" s="69"/>
      <c r="H278" s="81"/>
    </row>
    <row r="279" ht="14.25" customHeight="1">
      <c r="F279" s="69"/>
      <c r="G279" s="69"/>
      <c r="H279" s="81"/>
    </row>
    <row r="280" ht="14.25" customHeight="1">
      <c r="F280" s="69"/>
      <c r="G280" s="69"/>
      <c r="H280" s="81"/>
    </row>
    <row r="281" ht="14.25" customHeight="1">
      <c r="F281" s="69"/>
      <c r="G281" s="69"/>
      <c r="H281" s="81"/>
    </row>
    <row r="282" ht="14.25" customHeight="1">
      <c r="F282" s="69"/>
      <c r="G282" s="69"/>
      <c r="H282" s="81"/>
    </row>
    <row r="283" ht="14.25" customHeight="1">
      <c r="F283" s="69"/>
      <c r="G283" s="69"/>
      <c r="H283" s="81"/>
    </row>
    <row r="284" ht="14.25" customHeight="1">
      <c r="F284" s="69"/>
      <c r="G284" s="69"/>
      <c r="H284" s="81"/>
    </row>
    <row r="285" ht="14.25" customHeight="1">
      <c r="F285" s="69"/>
      <c r="G285" s="69"/>
      <c r="H285" s="81"/>
    </row>
    <row r="286" ht="14.25" customHeight="1">
      <c r="F286" s="69"/>
      <c r="G286" s="69"/>
      <c r="H286" s="81"/>
    </row>
    <row r="287" ht="14.25" customHeight="1">
      <c r="F287" s="69"/>
      <c r="G287" s="69"/>
      <c r="H287" s="81"/>
    </row>
    <row r="288" ht="14.25" customHeight="1">
      <c r="F288" s="69"/>
      <c r="G288" s="69"/>
      <c r="H288" s="81"/>
    </row>
    <row r="289" ht="14.25" customHeight="1">
      <c r="F289" s="69"/>
      <c r="G289" s="69"/>
      <c r="H289" s="81"/>
    </row>
    <row r="290" ht="14.25" customHeight="1">
      <c r="F290" s="69"/>
      <c r="G290" s="69"/>
      <c r="H290" s="81"/>
    </row>
    <row r="291" ht="14.25" customHeight="1">
      <c r="F291" s="69"/>
      <c r="G291" s="69"/>
      <c r="H291" s="81"/>
    </row>
    <row r="292" ht="14.25" customHeight="1">
      <c r="F292" s="69"/>
      <c r="G292" s="69"/>
      <c r="H292" s="81"/>
    </row>
    <row r="293" ht="14.25" customHeight="1">
      <c r="F293" s="69"/>
      <c r="G293" s="69"/>
      <c r="H293" s="81"/>
    </row>
    <row r="294" ht="14.25" customHeight="1">
      <c r="F294" s="69"/>
      <c r="G294" s="69"/>
      <c r="H294" s="81"/>
    </row>
    <row r="295" ht="14.25" customHeight="1">
      <c r="F295" s="69"/>
      <c r="G295" s="69"/>
      <c r="H295" s="81"/>
    </row>
    <row r="296" ht="14.25" customHeight="1">
      <c r="F296" s="69"/>
      <c r="G296" s="69"/>
      <c r="H296" s="81"/>
    </row>
    <row r="297" ht="14.25" customHeight="1">
      <c r="F297" s="69"/>
      <c r="G297" s="69"/>
      <c r="H297" s="81"/>
    </row>
    <row r="298" ht="14.25" customHeight="1">
      <c r="F298" s="69"/>
      <c r="G298" s="69"/>
      <c r="H298" s="81"/>
    </row>
    <row r="299" ht="14.25" customHeight="1">
      <c r="F299" s="69"/>
      <c r="G299" s="69"/>
      <c r="H299" s="81"/>
    </row>
    <row r="300" ht="14.25" customHeight="1">
      <c r="F300" s="69"/>
      <c r="G300" s="69"/>
      <c r="H300" s="81"/>
    </row>
    <row r="301" ht="14.25" customHeight="1">
      <c r="F301" s="69"/>
      <c r="G301" s="69"/>
      <c r="H301" s="81"/>
    </row>
    <row r="302" ht="14.25" customHeight="1">
      <c r="F302" s="69"/>
      <c r="G302" s="69"/>
      <c r="H302" s="81"/>
    </row>
    <row r="303" ht="14.25" customHeight="1">
      <c r="F303" s="69"/>
      <c r="G303" s="69"/>
      <c r="H303" s="81"/>
    </row>
    <row r="304" ht="14.25" customHeight="1">
      <c r="F304" s="69"/>
      <c r="G304" s="69"/>
      <c r="H304" s="81"/>
    </row>
    <row r="305" ht="14.25" customHeight="1">
      <c r="F305" s="69"/>
      <c r="G305" s="69"/>
      <c r="H305" s="81"/>
    </row>
    <row r="306" ht="14.25" customHeight="1">
      <c r="F306" s="69"/>
      <c r="G306" s="69"/>
      <c r="H306" s="81"/>
    </row>
    <row r="307" ht="14.25" customHeight="1">
      <c r="F307" s="69"/>
      <c r="G307" s="69"/>
      <c r="H307" s="81"/>
    </row>
    <row r="308" ht="14.25" customHeight="1">
      <c r="F308" s="69"/>
      <c r="G308" s="69"/>
      <c r="H308" s="81"/>
    </row>
    <row r="309" ht="14.25" customHeight="1">
      <c r="F309" s="69"/>
      <c r="G309" s="69"/>
      <c r="H309" s="81"/>
    </row>
    <row r="310" ht="14.25" customHeight="1">
      <c r="F310" s="69"/>
      <c r="G310" s="69"/>
      <c r="H310" s="81"/>
    </row>
    <row r="311" ht="14.25" customHeight="1">
      <c r="F311" s="69"/>
      <c r="G311" s="69"/>
      <c r="H311" s="81"/>
    </row>
    <row r="312" ht="14.25" customHeight="1">
      <c r="F312" s="69"/>
      <c r="G312" s="69"/>
      <c r="H312" s="81"/>
    </row>
    <row r="313" ht="14.25" customHeight="1">
      <c r="F313" s="69"/>
      <c r="G313" s="69"/>
      <c r="H313" s="81"/>
    </row>
    <row r="314" ht="14.25" customHeight="1">
      <c r="F314" s="69"/>
      <c r="G314" s="69"/>
      <c r="H314" s="81"/>
    </row>
    <row r="315" ht="14.25" customHeight="1">
      <c r="F315" s="69"/>
      <c r="G315" s="69"/>
      <c r="H315" s="81"/>
    </row>
    <row r="316" ht="14.25" customHeight="1">
      <c r="F316" s="69"/>
      <c r="G316" s="69"/>
      <c r="H316" s="81"/>
    </row>
    <row r="317" ht="14.25" customHeight="1">
      <c r="F317" s="69"/>
      <c r="G317" s="69"/>
      <c r="H317" s="81"/>
    </row>
    <row r="318" ht="14.25" customHeight="1">
      <c r="F318" s="69"/>
      <c r="G318" s="69"/>
      <c r="H318" s="81"/>
    </row>
    <row r="319" ht="14.25" customHeight="1">
      <c r="F319" s="69"/>
      <c r="G319" s="69"/>
      <c r="H319" s="81"/>
    </row>
    <row r="320" ht="14.25" customHeight="1">
      <c r="F320" s="69"/>
      <c r="G320" s="69"/>
      <c r="H320" s="81"/>
    </row>
    <row r="321" ht="14.25" customHeight="1">
      <c r="F321" s="69"/>
      <c r="G321" s="69"/>
      <c r="H321" s="81"/>
    </row>
    <row r="322" ht="14.25" customHeight="1">
      <c r="F322" s="69"/>
      <c r="G322" s="69"/>
      <c r="H322" s="81"/>
    </row>
    <row r="323" ht="14.25" customHeight="1">
      <c r="F323" s="69"/>
      <c r="G323" s="69"/>
      <c r="H323" s="81"/>
    </row>
    <row r="324" ht="14.25" customHeight="1">
      <c r="F324" s="69"/>
      <c r="G324" s="69"/>
      <c r="H324" s="81"/>
    </row>
    <row r="325" ht="14.25" customHeight="1">
      <c r="F325" s="69"/>
      <c r="G325" s="69"/>
      <c r="H325" s="81"/>
    </row>
    <row r="326" ht="14.25" customHeight="1">
      <c r="F326" s="69"/>
      <c r="G326" s="69"/>
      <c r="H326" s="81"/>
    </row>
    <row r="327" ht="14.25" customHeight="1">
      <c r="F327" s="69"/>
      <c r="G327" s="69"/>
      <c r="H327" s="81"/>
    </row>
    <row r="328" ht="14.25" customHeight="1">
      <c r="F328" s="69"/>
      <c r="G328" s="69"/>
      <c r="H328" s="81"/>
    </row>
    <row r="329" ht="14.25" customHeight="1">
      <c r="F329" s="69"/>
      <c r="G329" s="69"/>
      <c r="H329" s="81"/>
    </row>
    <row r="330" ht="14.25" customHeight="1">
      <c r="F330" s="69"/>
      <c r="G330" s="69"/>
      <c r="H330" s="81"/>
    </row>
    <row r="331" ht="14.25" customHeight="1">
      <c r="F331" s="69"/>
      <c r="G331" s="69"/>
      <c r="H331" s="81"/>
    </row>
    <row r="332" ht="14.25" customHeight="1">
      <c r="F332" s="69"/>
      <c r="G332" s="69"/>
      <c r="H332" s="81"/>
    </row>
    <row r="333" ht="14.25" customHeight="1">
      <c r="F333" s="69"/>
      <c r="G333" s="69"/>
      <c r="H333" s="81"/>
    </row>
    <row r="334" ht="14.25" customHeight="1">
      <c r="F334" s="69"/>
      <c r="G334" s="69"/>
      <c r="H334" s="81"/>
    </row>
    <row r="335" ht="14.25" customHeight="1">
      <c r="F335" s="69"/>
      <c r="G335" s="69"/>
      <c r="H335" s="81"/>
    </row>
    <row r="336" ht="14.25" customHeight="1">
      <c r="F336" s="69"/>
      <c r="G336" s="69"/>
      <c r="H336" s="81"/>
    </row>
    <row r="337" ht="14.25" customHeight="1">
      <c r="F337" s="69"/>
      <c r="G337" s="69"/>
      <c r="H337" s="81"/>
    </row>
    <row r="338" ht="14.25" customHeight="1">
      <c r="F338" s="69"/>
      <c r="G338" s="69"/>
      <c r="H338" s="81"/>
    </row>
    <row r="339" ht="14.25" customHeight="1">
      <c r="F339" s="69"/>
      <c r="G339" s="69"/>
      <c r="H339" s="81"/>
    </row>
    <row r="340" ht="14.25" customHeight="1">
      <c r="F340" s="69"/>
      <c r="G340" s="69"/>
      <c r="H340" s="81"/>
    </row>
    <row r="341" ht="14.25" customHeight="1">
      <c r="F341" s="69"/>
      <c r="G341" s="69"/>
      <c r="H341" s="81"/>
    </row>
    <row r="342" ht="14.25" customHeight="1">
      <c r="F342" s="69"/>
      <c r="G342" s="69"/>
      <c r="H342" s="81"/>
    </row>
    <row r="343" ht="14.25" customHeight="1">
      <c r="F343" s="69"/>
      <c r="G343" s="69"/>
      <c r="H343" s="81"/>
    </row>
    <row r="344" ht="14.25" customHeight="1">
      <c r="F344" s="69"/>
      <c r="G344" s="69"/>
      <c r="H344" s="81"/>
    </row>
    <row r="345" ht="14.25" customHeight="1">
      <c r="F345" s="69"/>
      <c r="G345" s="69"/>
      <c r="H345" s="81"/>
    </row>
    <row r="346" ht="14.25" customHeight="1">
      <c r="F346" s="69"/>
      <c r="G346" s="69"/>
      <c r="H346" s="81"/>
    </row>
    <row r="347" ht="14.25" customHeight="1">
      <c r="F347" s="69"/>
      <c r="G347" s="69"/>
      <c r="H347" s="81"/>
    </row>
    <row r="348" ht="14.25" customHeight="1">
      <c r="F348" s="69"/>
      <c r="G348" s="69"/>
      <c r="H348" s="81"/>
    </row>
    <row r="349" ht="14.25" customHeight="1">
      <c r="F349" s="69"/>
      <c r="G349" s="69"/>
      <c r="H349" s="81"/>
    </row>
    <row r="350" ht="14.25" customHeight="1">
      <c r="F350" s="69"/>
      <c r="G350" s="69"/>
      <c r="H350" s="81"/>
    </row>
    <row r="351" ht="14.25" customHeight="1">
      <c r="F351" s="69"/>
      <c r="G351" s="69"/>
      <c r="H351" s="81"/>
    </row>
    <row r="352" ht="14.25" customHeight="1">
      <c r="F352" s="69"/>
      <c r="G352" s="69"/>
      <c r="H352" s="81"/>
    </row>
    <row r="353" ht="14.25" customHeight="1">
      <c r="F353" s="69"/>
      <c r="G353" s="69"/>
      <c r="H353" s="81"/>
    </row>
    <row r="354" ht="14.25" customHeight="1">
      <c r="F354" s="69"/>
      <c r="G354" s="69"/>
      <c r="H354" s="81"/>
    </row>
    <row r="355" ht="14.25" customHeight="1">
      <c r="F355" s="69"/>
      <c r="G355" s="69"/>
      <c r="H355" s="81"/>
    </row>
    <row r="356" ht="14.25" customHeight="1">
      <c r="F356" s="69"/>
      <c r="G356" s="69"/>
      <c r="H356" s="81"/>
    </row>
    <row r="357" ht="14.25" customHeight="1">
      <c r="F357" s="69"/>
      <c r="G357" s="69"/>
      <c r="H357" s="81"/>
    </row>
    <row r="358" ht="14.25" customHeight="1">
      <c r="F358" s="69"/>
      <c r="G358" s="69"/>
      <c r="H358" s="81"/>
    </row>
    <row r="359" ht="14.25" customHeight="1">
      <c r="F359" s="69"/>
      <c r="G359" s="69"/>
      <c r="H359" s="81"/>
    </row>
    <row r="360" ht="14.25" customHeight="1">
      <c r="F360" s="69"/>
      <c r="G360" s="69"/>
      <c r="H360" s="81"/>
    </row>
    <row r="361" ht="14.25" customHeight="1">
      <c r="F361" s="69"/>
      <c r="G361" s="69"/>
      <c r="H361" s="81"/>
    </row>
    <row r="362" ht="14.25" customHeight="1">
      <c r="F362" s="69"/>
      <c r="G362" s="69"/>
      <c r="H362" s="81"/>
    </row>
    <row r="363" ht="14.25" customHeight="1">
      <c r="F363" s="69"/>
      <c r="G363" s="69"/>
      <c r="H363" s="81"/>
    </row>
    <row r="364" ht="14.25" customHeight="1">
      <c r="F364" s="69"/>
      <c r="G364" s="69"/>
      <c r="H364" s="81"/>
    </row>
    <row r="365" ht="14.25" customHeight="1">
      <c r="F365" s="69"/>
      <c r="G365" s="69"/>
      <c r="H365" s="81"/>
    </row>
    <row r="366" ht="14.25" customHeight="1">
      <c r="F366" s="69"/>
      <c r="G366" s="69"/>
      <c r="H366" s="81"/>
    </row>
    <row r="367" ht="14.25" customHeight="1">
      <c r="F367" s="69"/>
      <c r="G367" s="69"/>
      <c r="H367" s="81"/>
    </row>
    <row r="368" ht="14.25" customHeight="1">
      <c r="F368" s="69"/>
      <c r="G368" s="69"/>
      <c r="H368" s="81"/>
    </row>
    <row r="369" ht="14.25" customHeight="1">
      <c r="F369" s="69"/>
      <c r="G369" s="69"/>
      <c r="H369" s="81"/>
    </row>
    <row r="370" ht="14.25" customHeight="1">
      <c r="F370" s="69"/>
      <c r="G370" s="69"/>
      <c r="H370" s="81"/>
    </row>
    <row r="371" ht="14.25" customHeight="1">
      <c r="F371" s="69"/>
      <c r="G371" s="69"/>
      <c r="H371" s="81"/>
    </row>
    <row r="372" ht="14.25" customHeight="1">
      <c r="F372" s="69"/>
      <c r="G372" s="69"/>
      <c r="H372" s="81"/>
    </row>
    <row r="373" ht="14.25" customHeight="1">
      <c r="F373" s="69"/>
      <c r="G373" s="69"/>
      <c r="H373" s="81"/>
    </row>
    <row r="374" ht="14.25" customHeight="1">
      <c r="F374" s="69"/>
      <c r="G374" s="69"/>
      <c r="H374" s="81"/>
    </row>
    <row r="375" ht="14.25" customHeight="1">
      <c r="F375" s="69"/>
      <c r="G375" s="69"/>
      <c r="H375" s="81"/>
    </row>
    <row r="376" ht="14.25" customHeight="1">
      <c r="F376" s="69"/>
      <c r="G376" s="69"/>
      <c r="H376" s="81"/>
    </row>
    <row r="377" ht="14.25" customHeight="1">
      <c r="F377" s="69"/>
      <c r="G377" s="69"/>
      <c r="H377" s="81"/>
    </row>
    <row r="378" ht="14.25" customHeight="1">
      <c r="F378" s="69"/>
      <c r="G378" s="69"/>
      <c r="H378" s="81"/>
    </row>
    <row r="379" ht="14.25" customHeight="1">
      <c r="F379" s="69"/>
      <c r="G379" s="69"/>
      <c r="H379" s="81"/>
    </row>
    <row r="380" ht="14.25" customHeight="1">
      <c r="F380" s="69"/>
      <c r="G380" s="69"/>
      <c r="H380" s="81"/>
    </row>
    <row r="381" ht="14.25" customHeight="1">
      <c r="F381" s="69"/>
      <c r="G381" s="69"/>
      <c r="H381" s="81"/>
    </row>
    <row r="382" ht="14.25" customHeight="1">
      <c r="F382" s="69"/>
      <c r="G382" s="69"/>
      <c r="H382" s="81"/>
    </row>
    <row r="383" ht="14.25" customHeight="1">
      <c r="F383" s="69"/>
      <c r="G383" s="69"/>
      <c r="H383" s="81"/>
    </row>
    <row r="384" ht="14.25" customHeight="1">
      <c r="F384" s="69"/>
      <c r="G384" s="69"/>
      <c r="H384" s="81"/>
    </row>
    <row r="385" ht="14.25" customHeight="1">
      <c r="F385" s="69"/>
      <c r="G385" s="69"/>
      <c r="H385" s="81"/>
    </row>
    <row r="386" ht="14.25" customHeight="1">
      <c r="F386" s="69"/>
      <c r="G386" s="69"/>
      <c r="H386" s="81"/>
    </row>
    <row r="387" ht="14.25" customHeight="1">
      <c r="F387" s="69"/>
      <c r="G387" s="69"/>
      <c r="H387" s="81"/>
    </row>
    <row r="388" ht="14.25" customHeight="1">
      <c r="F388" s="69"/>
      <c r="G388" s="69"/>
      <c r="H388" s="81"/>
    </row>
    <row r="389" ht="14.25" customHeight="1">
      <c r="F389" s="69"/>
      <c r="G389" s="69"/>
      <c r="H389" s="81"/>
    </row>
    <row r="390" ht="14.25" customHeight="1">
      <c r="F390" s="69"/>
      <c r="G390" s="69"/>
      <c r="H390" s="81"/>
    </row>
    <row r="391" ht="14.25" customHeight="1">
      <c r="F391" s="69"/>
      <c r="G391" s="69"/>
      <c r="H391" s="81"/>
    </row>
    <row r="392" ht="14.25" customHeight="1">
      <c r="F392" s="69"/>
      <c r="G392" s="69"/>
      <c r="H392" s="81"/>
    </row>
    <row r="393" ht="14.25" customHeight="1">
      <c r="F393" s="69"/>
      <c r="G393" s="69"/>
      <c r="H393" s="81"/>
    </row>
    <row r="394" ht="14.25" customHeight="1">
      <c r="F394" s="69"/>
      <c r="G394" s="69"/>
      <c r="H394" s="81"/>
    </row>
    <row r="395" ht="14.25" customHeight="1">
      <c r="F395" s="69"/>
      <c r="G395" s="69"/>
      <c r="H395" s="81"/>
    </row>
    <row r="396" ht="14.25" customHeight="1">
      <c r="F396" s="69"/>
      <c r="G396" s="69"/>
      <c r="H396" s="81"/>
    </row>
    <row r="397" ht="14.25" customHeight="1">
      <c r="F397" s="69"/>
      <c r="G397" s="69"/>
      <c r="H397" s="81"/>
    </row>
    <row r="398" ht="14.25" customHeight="1">
      <c r="F398" s="69"/>
      <c r="G398" s="69"/>
      <c r="H398" s="81"/>
    </row>
    <row r="399" ht="14.25" customHeight="1">
      <c r="F399" s="69"/>
      <c r="G399" s="69"/>
      <c r="H399" s="81"/>
    </row>
    <row r="400" ht="14.25" customHeight="1">
      <c r="F400" s="69"/>
      <c r="G400" s="69"/>
      <c r="H400" s="81"/>
    </row>
    <row r="401" ht="14.25" customHeight="1">
      <c r="F401" s="69"/>
      <c r="G401" s="69"/>
      <c r="H401" s="81"/>
    </row>
    <row r="402" ht="14.25" customHeight="1">
      <c r="F402" s="69"/>
      <c r="G402" s="69"/>
      <c r="H402" s="81"/>
    </row>
    <row r="403" ht="14.25" customHeight="1">
      <c r="F403" s="69"/>
      <c r="G403" s="69"/>
      <c r="H403" s="81"/>
    </row>
    <row r="404" ht="14.25" customHeight="1">
      <c r="F404" s="69"/>
      <c r="G404" s="69"/>
      <c r="H404" s="81"/>
    </row>
    <row r="405" ht="14.25" customHeight="1">
      <c r="F405" s="69"/>
      <c r="G405" s="69"/>
      <c r="H405" s="81"/>
    </row>
    <row r="406" ht="14.25" customHeight="1">
      <c r="F406" s="69"/>
      <c r="G406" s="69"/>
      <c r="H406" s="81"/>
    </row>
    <row r="407" ht="14.25" customHeight="1">
      <c r="F407" s="69"/>
      <c r="G407" s="69"/>
      <c r="H407" s="81"/>
    </row>
    <row r="408" ht="14.25" customHeight="1">
      <c r="F408" s="69"/>
      <c r="G408" s="69"/>
      <c r="H408" s="81"/>
    </row>
    <row r="409" ht="14.25" customHeight="1">
      <c r="F409" s="69"/>
      <c r="G409" s="69"/>
      <c r="H409" s="81"/>
    </row>
    <row r="410" ht="14.25" customHeight="1">
      <c r="F410" s="69"/>
      <c r="G410" s="69"/>
      <c r="H410" s="81"/>
    </row>
    <row r="411" ht="14.25" customHeight="1">
      <c r="F411" s="69"/>
      <c r="G411" s="69"/>
      <c r="H411" s="81"/>
    </row>
    <row r="412" ht="14.25" customHeight="1">
      <c r="F412" s="69"/>
      <c r="G412" s="69"/>
      <c r="H412" s="81"/>
    </row>
    <row r="413" ht="14.25" customHeight="1">
      <c r="F413" s="69"/>
      <c r="G413" s="69"/>
      <c r="H413" s="81"/>
    </row>
    <row r="414" ht="14.25" customHeight="1">
      <c r="F414" s="69"/>
      <c r="G414" s="69"/>
      <c r="H414" s="81"/>
    </row>
    <row r="415" ht="14.25" customHeight="1">
      <c r="F415" s="69"/>
      <c r="G415" s="69"/>
      <c r="H415" s="81"/>
    </row>
    <row r="416" ht="14.25" customHeight="1">
      <c r="F416" s="69"/>
      <c r="G416" s="69"/>
      <c r="H416" s="81"/>
    </row>
    <row r="417" ht="14.25" customHeight="1">
      <c r="F417" s="69"/>
      <c r="G417" s="69"/>
      <c r="H417" s="81"/>
    </row>
    <row r="418" ht="14.25" customHeight="1">
      <c r="F418" s="69"/>
      <c r="G418" s="69"/>
      <c r="H418" s="81"/>
    </row>
    <row r="419" ht="14.25" customHeight="1">
      <c r="F419" s="69"/>
      <c r="G419" s="69"/>
      <c r="H419" s="81"/>
    </row>
    <row r="420" ht="14.25" customHeight="1">
      <c r="F420" s="69"/>
      <c r="G420" s="69"/>
      <c r="H420" s="81"/>
    </row>
    <row r="421" ht="14.25" customHeight="1">
      <c r="F421" s="69"/>
      <c r="G421" s="69"/>
      <c r="H421" s="81"/>
    </row>
    <row r="422" ht="14.25" customHeight="1">
      <c r="F422" s="69"/>
      <c r="G422" s="69"/>
      <c r="H422" s="81"/>
    </row>
    <row r="423" ht="14.25" customHeight="1">
      <c r="F423" s="69"/>
      <c r="G423" s="69"/>
      <c r="H423" s="81"/>
    </row>
    <row r="424" ht="14.25" customHeight="1">
      <c r="F424" s="69"/>
      <c r="G424" s="69"/>
      <c r="H424" s="81"/>
    </row>
    <row r="425" ht="14.25" customHeight="1">
      <c r="F425" s="69"/>
      <c r="G425" s="69"/>
      <c r="H425" s="81"/>
    </row>
    <row r="426" ht="14.25" customHeight="1">
      <c r="F426" s="69"/>
      <c r="G426" s="69"/>
      <c r="H426" s="81"/>
    </row>
    <row r="427" ht="14.25" customHeight="1">
      <c r="F427" s="69"/>
      <c r="G427" s="69"/>
      <c r="H427" s="81"/>
    </row>
    <row r="428" ht="14.25" customHeight="1">
      <c r="F428" s="69"/>
      <c r="G428" s="69"/>
      <c r="H428" s="81"/>
    </row>
    <row r="429" ht="14.25" customHeight="1">
      <c r="F429" s="69"/>
      <c r="G429" s="69"/>
      <c r="H429" s="81"/>
    </row>
    <row r="430" ht="14.25" customHeight="1">
      <c r="F430" s="69"/>
      <c r="G430" s="69"/>
      <c r="H430" s="81"/>
    </row>
    <row r="431" ht="14.25" customHeight="1">
      <c r="F431" s="69"/>
      <c r="G431" s="69"/>
      <c r="H431" s="81"/>
    </row>
    <row r="432" ht="14.25" customHeight="1">
      <c r="F432" s="69"/>
      <c r="G432" s="69"/>
      <c r="H432" s="81"/>
    </row>
    <row r="433" ht="14.25" customHeight="1">
      <c r="F433" s="69"/>
      <c r="G433" s="69"/>
      <c r="H433" s="81"/>
    </row>
    <row r="434" ht="14.25" customHeight="1">
      <c r="F434" s="69"/>
      <c r="G434" s="69"/>
      <c r="H434" s="81"/>
    </row>
    <row r="435" ht="14.25" customHeight="1">
      <c r="F435" s="69"/>
      <c r="G435" s="69"/>
      <c r="H435" s="81"/>
    </row>
    <row r="436" ht="14.25" customHeight="1">
      <c r="F436" s="69"/>
      <c r="G436" s="69"/>
      <c r="H436" s="81"/>
    </row>
    <row r="437" ht="14.25" customHeight="1">
      <c r="F437" s="69"/>
      <c r="G437" s="69"/>
      <c r="H437" s="81"/>
    </row>
    <row r="438" ht="14.25" customHeight="1">
      <c r="F438" s="69"/>
      <c r="G438" s="69"/>
      <c r="H438" s="81"/>
    </row>
    <row r="439" ht="14.25" customHeight="1">
      <c r="F439" s="69"/>
      <c r="G439" s="69"/>
      <c r="H439" s="81"/>
    </row>
    <row r="440" ht="14.25" customHeight="1">
      <c r="F440" s="69"/>
      <c r="G440" s="69"/>
      <c r="H440" s="81"/>
    </row>
    <row r="441" ht="14.25" customHeight="1">
      <c r="F441" s="69"/>
      <c r="G441" s="69"/>
      <c r="H441" s="81"/>
    </row>
    <row r="442" ht="14.25" customHeight="1">
      <c r="F442" s="69"/>
      <c r="G442" s="69"/>
      <c r="H442" s="81"/>
    </row>
    <row r="443" ht="14.25" customHeight="1">
      <c r="F443" s="69"/>
      <c r="G443" s="69"/>
      <c r="H443" s="81"/>
    </row>
    <row r="444" ht="14.25" customHeight="1">
      <c r="F444" s="69"/>
      <c r="G444" s="69"/>
      <c r="H444" s="81"/>
    </row>
    <row r="445" ht="14.25" customHeight="1">
      <c r="F445" s="69"/>
      <c r="G445" s="69"/>
      <c r="H445" s="81"/>
    </row>
    <row r="446" ht="14.25" customHeight="1">
      <c r="F446" s="69"/>
      <c r="G446" s="69"/>
      <c r="H446" s="81"/>
    </row>
    <row r="447" ht="14.25" customHeight="1">
      <c r="F447" s="69"/>
      <c r="G447" s="69"/>
      <c r="H447" s="81"/>
    </row>
    <row r="448" ht="14.25" customHeight="1">
      <c r="F448" s="69"/>
      <c r="G448" s="69"/>
      <c r="H448" s="81"/>
    </row>
    <row r="449" ht="14.25" customHeight="1">
      <c r="F449" s="69"/>
      <c r="G449" s="69"/>
      <c r="H449" s="81"/>
    </row>
    <row r="450" ht="14.25" customHeight="1">
      <c r="F450" s="69"/>
      <c r="G450" s="69"/>
      <c r="H450" s="81"/>
    </row>
    <row r="451" ht="14.25" customHeight="1">
      <c r="F451" s="69"/>
      <c r="G451" s="69"/>
      <c r="H451" s="81"/>
    </row>
    <row r="452" ht="14.25" customHeight="1">
      <c r="F452" s="69"/>
      <c r="G452" s="69"/>
      <c r="H452" s="81"/>
    </row>
    <row r="453" ht="14.25" customHeight="1">
      <c r="F453" s="69"/>
      <c r="G453" s="69"/>
      <c r="H453" s="81"/>
    </row>
    <row r="454" ht="14.25" customHeight="1">
      <c r="F454" s="69"/>
      <c r="G454" s="69"/>
      <c r="H454" s="81"/>
    </row>
    <row r="455" ht="14.25" customHeight="1">
      <c r="F455" s="69"/>
      <c r="G455" s="69"/>
      <c r="H455" s="81"/>
    </row>
    <row r="456" ht="14.25" customHeight="1">
      <c r="F456" s="69"/>
      <c r="G456" s="69"/>
      <c r="H456" s="81"/>
    </row>
    <row r="457" ht="14.25" customHeight="1">
      <c r="F457" s="69"/>
      <c r="G457" s="69"/>
      <c r="H457" s="81"/>
    </row>
    <row r="458" ht="14.25" customHeight="1">
      <c r="F458" s="69"/>
      <c r="G458" s="69"/>
      <c r="H458" s="81"/>
    </row>
    <row r="459" ht="14.25" customHeight="1">
      <c r="F459" s="69"/>
      <c r="G459" s="69"/>
      <c r="H459" s="81"/>
    </row>
    <row r="460" ht="14.25" customHeight="1">
      <c r="F460" s="69"/>
      <c r="G460" s="69"/>
      <c r="H460" s="81"/>
    </row>
    <row r="461" ht="14.25" customHeight="1">
      <c r="F461" s="69"/>
      <c r="G461" s="69"/>
      <c r="H461" s="81"/>
    </row>
    <row r="462" ht="14.25" customHeight="1">
      <c r="F462" s="69"/>
      <c r="G462" s="69"/>
      <c r="H462" s="81"/>
    </row>
    <row r="463" ht="14.25" customHeight="1">
      <c r="F463" s="69"/>
      <c r="G463" s="69"/>
      <c r="H463" s="81"/>
    </row>
    <row r="464" ht="14.25" customHeight="1">
      <c r="F464" s="69"/>
      <c r="G464" s="69"/>
      <c r="H464" s="81"/>
    </row>
    <row r="465" ht="14.25" customHeight="1">
      <c r="F465" s="69"/>
      <c r="G465" s="69"/>
      <c r="H465" s="81"/>
    </row>
    <row r="466" ht="14.25" customHeight="1">
      <c r="F466" s="69"/>
      <c r="G466" s="69"/>
      <c r="H466" s="81"/>
    </row>
    <row r="467" ht="14.25" customHeight="1">
      <c r="F467" s="69"/>
      <c r="G467" s="69"/>
      <c r="H467" s="81"/>
    </row>
    <row r="468" ht="14.25" customHeight="1">
      <c r="F468" s="69"/>
      <c r="G468" s="69"/>
      <c r="H468" s="81"/>
    </row>
    <row r="469" ht="14.25" customHeight="1">
      <c r="F469" s="69"/>
      <c r="G469" s="69"/>
      <c r="H469" s="81"/>
    </row>
    <row r="470" ht="14.25" customHeight="1">
      <c r="F470" s="69"/>
      <c r="G470" s="69"/>
      <c r="H470" s="81"/>
    </row>
    <row r="471" ht="14.25" customHeight="1">
      <c r="F471" s="69"/>
      <c r="G471" s="69"/>
      <c r="H471" s="81"/>
    </row>
    <row r="472" ht="14.25" customHeight="1">
      <c r="F472" s="69"/>
      <c r="G472" s="69"/>
      <c r="H472" s="81"/>
    </row>
    <row r="473" ht="14.25" customHeight="1">
      <c r="F473" s="69"/>
      <c r="G473" s="69"/>
      <c r="H473" s="81"/>
    </row>
    <row r="474" ht="14.25" customHeight="1">
      <c r="F474" s="69"/>
      <c r="G474" s="69"/>
      <c r="H474" s="81"/>
    </row>
    <row r="475" ht="14.25" customHeight="1">
      <c r="F475" s="69"/>
      <c r="G475" s="69"/>
      <c r="H475" s="81"/>
    </row>
    <row r="476" ht="14.25" customHeight="1">
      <c r="F476" s="69"/>
      <c r="G476" s="69"/>
      <c r="H476" s="81"/>
    </row>
    <row r="477" ht="14.25" customHeight="1">
      <c r="F477" s="69"/>
      <c r="G477" s="69"/>
      <c r="H477" s="81"/>
    </row>
    <row r="478" ht="14.25" customHeight="1">
      <c r="F478" s="69"/>
      <c r="G478" s="69"/>
      <c r="H478" s="81"/>
    </row>
    <row r="479" ht="14.25" customHeight="1">
      <c r="F479" s="69"/>
      <c r="G479" s="69"/>
      <c r="H479" s="81"/>
    </row>
    <row r="480" ht="14.25" customHeight="1">
      <c r="F480" s="69"/>
      <c r="G480" s="69"/>
      <c r="H480" s="81"/>
    </row>
    <row r="481" ht="14.25" customHeight="1">
      <c r="F481" s="69"/>
      <c r="G481" s="69"/>
      <c r="H481" s="81"/>
    </row>
    <row r="482" ht="14.25" customHeight="1">
      <c r="F482" s="69"/>
      <c r="G482" s="69"/>
      <c r="H482" s="81"/>
    </row>
    <row r="483" ht="14.25" customHeight="1">
      <c r="F483" s="69"/>
      <c r="G483" s="69"/>
      <c r="H483" s="81"/>
    </row>
    <row r="484" ht="14.25" customHeight="1">
      <c r="F484" s="69"/>
      <c r="G484" s="69"/>
      <c r="H484" s="81"/>
    </row>
    <row r="485" ht="14.25" customHeight="1">
      <c r="F485" s="69"/>
      <c r="G485" s="69"/>
      <c r="H485" s="81"/>
    </row>
    <row r="486" ht="14.25" customHeight="1">
      <c r="F486" s="69"/>
      <c r="G486" s="69"/>
      <c r="H486" s="81"/>
    </row>
    <row r="487" ht="14.25" customHeight="1">
      <c r="F487" s="69"/>
      <c r="G487" s="69"/>
      <c r="H487" s="81"/>
    </row>
    <row r="488" ht="14.25" customHeight="1">
      <c r="F488" s="69"/>
      <c r="G488" s="69"/>
      <c r="H488" s="81"/>
    </row>
    <row r="489" ht="14.25" customHeight="1">
      <c r="F489" s="69"/>
      <c r="G489" s="69"/>
      <c r="H489" s="81"/>
    </row>
    <row r="490" ht="14.25" customHeight="1">
      <c r="F490" s="69"/>
      <c r="G490" s="69"/>
      <c r="H490" s="81"/>
    </row>
    <row r="491" ht="14.25" customHeight="1">
      <c r="F491" s="69"/>
      <c r="G491" s="69"/>
      <c r="H491" s="81"/>
    </row>
    <row r="492" ht="14.25" customHeight="1">
      <c r="F492" s="69"/>
      <c r="G492" s="69"/>
      <c r="H492" s="81"/>
    </row>
    <row r="493" ht="14.25" customHeight="1">
      <c r="F493" s="69"/>
      <c r="G493" s="69"/>
      <c r="H493" s="81"/>
    </row>
    <row r="494" ht="14.25" customHeight="1">
      <c r="F494" s="69"/>
      <c r="G494" s="69"/>
      <c r="H494" s="81"/>
    </row>
    <row r="495" ht="14.25" customHeight="1">
      <c r="F495" s="69"/>
      <c r="G495" s="69"/>
      <c r="H495" s="81"/>
    </row>
    <row r="496" ht="14.25" customHeight="1">
      <c r="F496" s="69"/>
      <c r="G496" s="69"/>
      <c r="H496" s="81"/>
    </row>
    <row r="497" ht="14.25" customHeight="1">
      <c r="F497" s="69"/>
      <c r="G497" s="69"/>
      <c r="H497" s="81"/>
    </row>
    <row r="498" ht="14.25" customHeight="1">
      <c r="F498" s="69"/>
      <c r="G498" s="69"/>
      <c r="H498" s="81"/>
    </row>
    <row r="499" ht="14.25" customHeight="1">
      <c r="F499" s="69"/>
      <c r="G499" s="69"/>
      <c r="H499" s="81"/>
    </row>
    <row r="500" ht="14.25" customHeight="1">
      <c r="F500" s="69"/>
      <c r="G500" s="69"/>
      <c r="H500" s="81"/>
    </row>
    <row r="501" ht="14.25" customHeight="1">
      <c r="F501" s="69"/>
      <c r="G501" s="69"/>
      <c r="H501" s="81"/>
    </row>
    <row r="502" ht="14.25" customHeight="1">
      <c r="F502" s="69"/>
      <c r="G502" s="69"/>
      <c r="H502" s="81"/>
    </row>
    <row r="503" ht="14.25" customHeight="1">
      <c r="F503" s="69"/>
      <c r="G503" s="69"/>
      <c r="H503" s="81"/>
    </row>
    <row r="504" ht="14.25" customHeight="1">
      <c r="F504" s="69"/>
      <c r="G504" s="69"/>
      <c r="H504" s="81"/>
    </row>
    <row r="505" ht="14.25" customHeight="1">
      <c r="F505" s="69"/>
      <c r="G505" s="69"/>
      <c r="H505" s="81"/>
    </row>
    <row r="506" ht="14.25" customHeight="1">
      <c r="F506" s="69"/>
      <c r="G506" s="69"/>
      <c r="H506" s="81"/>
    </row>
    <row r="507" ht="14.25" customHeight="1">
      <c r="F507" s="69"/>
      <c r="G507" s="69"/>
      <c r="H507" s="81"/>
    </row>
    <row r="508" ht="14.25" customHeight="1">
      <c r="F508" s="69"/>
      <c r="G508" s="69"/>
      <c r="H508" s="81"/>
    </row>
    <row r="509" ht="14.25" customHeight="1">
      <c r="F509" s="69"/>
      <c r="G509" s="69"/>
      <c r="H509" s="81"/>
    </row>
    <row r="510" ht="14.25" customHeight="1">
      <c r="F510" s="69"/>
      <c r="G510" s="69"/>
      <c r="H510" s="81"/>
    </row>
    <row r="511" ht="14.25" customHeight="1">
      <c r="F511" s="69"/>
      <c r="G511" s="69"/>
      <c r="H511" s="81"/>
    </row>
    <row r="512" ht="14.25" customHeight="1">
      <c r="F512" s="69"/>
      <c r="G512" s="69"/>
      <c r="H512" s="81"/>
    </row>
    <row r="513" ht="14.25" customHeight="1">
      <c r="F513" s="69"/>
      <c r="G513" s="69"/>
      <c r="H513" s="81"/>
    </row>
    <row r="514" ht="14.25" customHeight="1">
      <c r="F514" s="69"/>
      <c r="G514" s="69"/>
      <c r="H514" s="81"/>
    </row>
    <row r="515" ht="14.25" customHeight="1">
      <c r="F515" s="69"/>
      <c r="G515" s="69"/>
      <c r="H515" s="81"/>
    </row>
    <row r="516" ht="14.25" customHeight="1">
      <c r="F516" s="69"/>
      <c r="G516" s="69"/>
      <c r="H516" s="81"/>
    </row>
    <row r="517" ht="14.25" customHeight="1">
      <c r="F517" s="69"/>
      <c r="G517" s="69"/>
      <c r="H517" s="81"/>
    </row>
    <row r="518" ht="14.25" customHeight="1">
      <c r="F518" s="69"/>
      <c r="G518" s="69"/>
      <c r="H518" s="81"/>
    </row>
    <row r="519" ht="14.25" customHeight="1">
      <c r="F519" s="69"/>
      <c r="G519" s="69"/>
      <c r="H519" s="81"/>
    </row>
    <row r="520" ht="14.25" customHeight="1">
      <c r="F520" s="69"/>
      <c r="G520" s="69"/>
      <c r="H520" s="81"/>
    </row>
    <row r="521" ht="14.25" customHeight="1">
      <c r="F521" s="69"/>
      <c r="G521" s="69"/>
      <c r="H521" s="81"/>
    </row>
    <row r="522" ht="14.25" customHeight="1">
      <c r="F522" s="69"/>
      <c r="G522" s="69"/>
      <c r="H522" s="81"/>
    </row>
    <row r="523" ht="14.25" customHeight="1">
      <c r="F523" s="69"/>
      <c r="G523" s="69"/>
      <c r="H523" s="81"/>
    </row>
    <row r="524" ht="14.25" customHeight="1">
      <c r="F524" s="69"/>
      <c r="G524" s="69"/>
      <c r="H524" s="81"/>
    </row>
    <row r="525" ht="14.25" customHeight="1">
      <c r="F525" s="69"/>
      <c r="G525" s="69"/>
      <c r="H525" s="81"/>
    </row>
    <row r="526" ht="14.25" customHeight="1">
      <c r="F526" s="69"/>
      <c r="G526" s="69"/>
      <c r="H526" s="81"/>
    </row>
    <row r="527" ht="14.25" customHeight="1">
      <c r="F527" s="69"/>
      <c r="G527" s="69"/>
      <c r="H527" s="81"/>
    </row>
    <row r="528" ht="14.25" customHeight="1">
      <c r="F528" s="69"/>
      <c r="G528" s="69"/>
      <c r="H528" s="81"/>
    </row>
    <row r="529" ht="14.25" customHeight="1">
      <c r="F529" s="69"/>
      <c r="G529" s="69"/>
      <c r="H529" s="81"/>
    </row>
    <row r="530" ht="14.25" customHeight="1">
      <c r="F530" s="69"/>
      <c r="G530" s="69"/>
      <c r="H530" s="81"/>
    </row>
    <row r="531" ht="14.25" customHeight="1">
      <c r="F531" s="69"/>
      <c r="G531" s="69"/>
      <c r="H531" s="81"/>
    </row>
    <row r="532" ht="14.25" customHeight="1">
      <c r="F532" s="69"/>
      <c r="G532" s="69"/>
      <c r="H532" s="81"/>
    </row>
    <row r="533" ht="14.25" customHeight="1">
      <c r="F533" s="69"/>
      <c r="G533" s="69"/>
      <c r="H533" s="81"/>
    </row>
    <row r="534" ht="14.25" customHeight="1">
      <c r="F534" s="69"/>
      <c r="G534" s="69"/>
      <c r="H534" s="81"/>
    </row>
    <row r="535" ht="14.25" customHeight="1">
      <c r="F535" s="69"/>
      <c r="G535" s="69"/>
      <c r="H535" s="81"/>
    </row>
    <row r="536" ht="14.25" customHeight="1">
      <c r="F536" s="69"/>
      <c r="G536" s="69"/>
      <c r="H536" s="81"/>
    </row>
    <row r="537" ht="14.25" customHeight="1">
      <c r="F537" s="69"/>
      <c r="G537" s="69"/>
      <c r="H537" s="81"/>
    </row>
    <row r="538" ht="14.25" customHeight="1">
      <c r="F538" s="69"/>
      <c r="G538" s="69"/>
      <c r="H538" s="81"/>
    </row>
    <row r="539" ht="14.25" customHeight="1">
      <c r="F539" s="69"/>
      <c r="G539" s="69"/>
      <c r="H539" s="81"/>
    </row>
    <row r="540" ht="14.25" customHeight="1">
      <c r="F540" s="69"/>
      <c r="G540" s="69"/>
      <c r="H540" s="81"/>
    </row>
    <row r="541" ht="14.25" customHeight="1">
      <c r="F541" s="69"/>
      <c r="G541" s="69"/>
      <c r="H541" s="81"/>
    </row>
    <row r="542" ht="14.25" customHeight="1">
      <c r="F542" s="69"/>
      <c r="G542" s="69"/>
      <c r="H542" s="81"/>
    </row>
    <row r="543" ht="14.25" customHeight="1">
      <c r="F543" s="69"/>
      <c r="G543" s="69"/>
      <c r="H543" s="81"/>
    </row>
    <row r="544" ht="14.25" customHeight="1">
      <c r="F544" s="69"/>
      <c r="G544" s="69"/>
      <c r="H544" s="81"/>
    </row>
    <row r="545" ht="14.25" customHeight="1">
      <c r="F545" s="69"/>
      <c r="G545" s="69"/>
      <c r="H545" s="81"/>
    </row>
    <row r="546" ht="14.25" customHeight="1">
      <c r="F546" s="69"/>
      <c r="G546" s="69"/>
      <c r="H546" s="81"/>
    </row>
    <row r="547" ht="14.25" customHeight="1">
      <c r="F547" s="69"/>
      <c r="G547" s="69"/>
      <c r="H547" s="81"/>
    </row>
    <row r="548" ht="14.25" customHeight="1">
      <c r="F548" s="69"/>
      <c r="G548" s="69"/>
      <c r="H548" s="81"/>
    </row>
    <row r="549" ht="14.25" customHeight="1">
      <c r="F549" s="69"/>
      <c r="G549" s="69"/>
      <c r="H549" s="81"/>
    </row>
    <row r="550" ht="14.25" customHeight="1">
      <c r="F550" s="69"/>
      <c r="G550" s="69"/>
      <c r="H550" s="81"/>
    </row>
    <row r="551" ht="14.25" customHeight="1">
      <c r="F551" s="69"/>
      <c r="G551" s="69"/>
      <c r="H551" s="81"/>
    </row>
    <row r="552" ht="14.25" customHeight="1">
      <c r="F552" s="69"/>
      <c r="G552" s="69"/>
      <c r="H552" s="81"/>
    </row>
    <row r="553" ht="14.25" customHeight="1">
      <c r="F553" s="69"/>
      <c r="G553" s="69"/>
      <c r="H553" s="81"/>
    </row>
    <row r="554" ht="14.25" customHeight="1">
      <c r="F554" s="69"/>
      <c r="G554" s="69"/>
      <c r="H554" s="81"/>
    </row>
    <row r="555" ht="14.25" customHeight="1">
      <c r="F555" s="69"/>
      <c r="G555" s="69"/>
      <c r="H555" s="81"/>
    </row>
    <row r="556" ht="14.25" customHeight="1">
      <c r="F556" s="69"/>
      <c r="G556" s="69"/>
      <c r="H556" s="81"/>
    </row>
    <row r="557" ht="14.25" customHeight="1">
      <c r="F557" s="69"/>
      <c r="G557" s="69"/>
      <c r="H557" s="81"/>
    </row>
    <row r="558" ht="14.25" customHeight="1">
      <c r="F558" s="69"/>
      <c r="G558" s="69"/>
      <c r="H558" s="81"/>
    </row>
    <row r="559" ht="14.25" customHeight="1">
      <c r="F559" s="69"/>
      <c r="G559" s="69"/>
      <c r="H559" s="81"/>
    </row>
    <row r="560" ht="14.25" customHeight="1">
      <c r="F560" s="69"/>
      <c r="G560" s="69"/>
      <c r="H560" s="81"/>
    </row>
    <row r="561" ht="14.25" customHeight="1">
      <c r="F561" s="69"/>
      <c r="G561" s="69"/>
      <c r="H561" s="81"/>
    </row>
    <row r="562" ht="14.25" customHeight="1">
      <c r="F562" s="69"/>
      <c r="G562" s="69"/>
      <c r="H562" s="81"/>
    </row>
    <row r="563" ht="14.25" customHeight="1">
      <c r="F563" s="69"/>
      <c r="G563" s="69"/>
      <c r="H563" s="81"/>
    </row>
    <row r="564" ht="14.25" customHeight="1">
      <c r="F564" s="69"/>
      <c r="G564" s="69"/>
      <c r="H564" s="81"/>
    </row>
    <row r="565" ht="14.25" customHeight="1">
      <c r="F565" s="69"/>
      <c r="G565" s="69"/>
      <c r="H565" s="81"/>
    </row>
    <row r="566" ht="14.25" customHeight="1">
      <c r="F566" s="69"/>
      <c r="G566" s="69"/>
      <c r="H566" s="81"/>
    </row>
    <row r="567" ht="14.25" customHeight="1">
      <c r="F567" s="69"/>
      <c r="G567" s="69"/>
      <c r="H567" s="81"/>
    </row>
    <row r="568" ht="14.25" customHeight="1">
      <c r="F568" s="69"/>
      <c r="G568" s="69"/>
      <c r="H568" s="81"/>
    </row>
    <row r="569" ht="14.25" customHeight="1">
      <c r="F569" s="69"/>
      <c r="G569" s="69"/>
      <c r="H569" s="81"/>
    </row>
    <row r="570" ht="14.25" customHeight="1">
      <c r="F570" s="69"/>
      <c r="G570" s="69"/>
      <c r="H570" s="81"/>
    </row>
    <row r="571" ht="14.25" customHeight="1">
      <c r="F571" s="69"/>
      <c r="G571" s="69"/>
      <c r="H571" s="81"/>
    </row>
    <row r="572" ht="14.25" customHeight="1">
      <c r="F572" s="69"/>
      <c r="G572" s="69"/>
      <c r="H572" s="81"/>
    </row>
    <row r="573" ht="14.25" customHeight="1">
      <c r="F573" s="69"/>
      <c r="G573" s="69"/>
      <c r="H573" s="81"/>
    </row>
    <row r="574" ht="14.25" customHeight="1">
      <c r="F574" s="69"/>
      <c r="G574" s="69"/>
      <c r="H574" s="81"/>
    </row>
    <row r="575" ht="14.25" customHeight="1">
      <c r="F575" s="69"/>
      <c r="G575" s="69"/>
      <c r="H575" s="81"/>
    </row>
    <row r="576" ht="14.25" customHeight="1">
      <c r="F576" s="69"/>
      <c r="G576" s="69"/>
      <c r="H576" s="81"/>
    </row>
    <row r="577" ht="14.25" customHeight="1">
      <c r="F577" s="69"/>
      <c r="G577" s="69"/>
      <c r="H577" s="81"/>
    </row>
    <row r="578" ht="14.25" customHeight="1">
      <c r="F578" s="69"/>
      <c r="G578" s="69"/>
      <c r="H578" s="81"/>
    </row>
    <row r="579" ht="14.25" customHeight="1">
      <c r="F579" s="69"/>
      <c r="G579" s="69"/>
      <c r="H579" s="81"/>
    </row>
    <row r="580" ht="14.25" customHeight="1">
      <c r="F580" s="69"/>
      <c r="G580" s="69"/>
      <c r="H580" s="81"/>
    </row>
    <row r="581" ht="14.25" customHeight="1">
      <c r="F581" s="69"/>
      <c r="G581" s="69"/>
      <c r="H581" s="81"/>
    </row>
    <row r="582" ht="14.25" customHeight="1">
      <c r="F582" s="69"/>
      <c r="G582" s="69"/>
      <c r="H582" s="81"/>
    </row>
    <row r="583" ht="14.25" customHeight="1">
      <c r="F583" s="69"/>
      <c r="G583" s="69"/>
      <c r="H583" s="81"/>
    </row>
    <row r="584" ht="14.25" customHeight="1">
      <c r="F584" s="69"/>
      <c r="G584" s="69"/>
      <c r="H584" s="81"/>
    </row>
    <row r="585" ht="14.25" customHeight="1">
      <c r="F585" s="69"/>
      <c r="G585" s="69"/>
      <c r="H585" s="81"/>
    </row>
    <row r="586" ht="14.25" customHeight="1">
      <c r="F586" s="69"/>
      <c r="G586" s="69"/>
      <c r="H586" s="81"/>
    </row>
    <row r="587" ht="14.25" customHeight="1">
      <c r="F587" s="69"/>
      <c r="G587" s="69"/>
      <c r="H587" s="81"/>
    </row>
    <row r="588" ht="14.25" customHeight="1">
      <c r="F588" s="69"/>
      <c r="G588" s="69"/>
      <c r="H588" s="81"/>
    </row>
    <row r="589" ht="14.25" customHeight="1">
      <c r="F589" s="69"/>
      <c r="G589" s="69"/>
      <c r="H589" s="81"/>
    </row>
    <row r="590" ht="14.25" customHeight="1">
      <c r="F590" s="69"/>
      <c r="G590" s="69"/>
      <c r="H590" s="81"/>
    </row>
    <row r="591" ht="14.25" customHeight="1">
      <c r="F591" s="69"/>
      <c r="G591" s="69"/>
      <c r="H591" s="81"/>
    </row>
    <row r="592" ht="14.25" customHeight="1">
      <c r="F592" s="69"/>
      <c r="G592" s="69"/>
      <c r="H592" s="81"/>
    </row>
    <row r="593" ht="14.25" customHeight="1">
      <c r="F593" s="69"/>
      <c r="G593" s="69"/>
      <c r="H593" s="81"/>
    </row>
    <row r="594" ht="14.25" customHeight="1">
      <c r="F594" s="69"/>
      <c r="G594" s="69"/>
      <c r="H594" s="81"/>
    </row>
    <row r="595" ht="14.25" customHeight="1">
      <c r="F595" s="69"/>
      <c r="G595" s="69"/>
      <c r="H595" s="81"/>
    </row>
    <row r="596" ht="14.25" customHeight="1">
      <c r="F596" s="69"/>
      <c r="G596" s="69"/>
      <c r="H596" s="81"/>
    </row>
    <row r="597" ht="14.25" customHeight="1">
      <c r="F597" s="69"/>
      <c r="G597" s="69"/>
      <c r="H597" s="81"/>
    </row>
    <row r="598" ht="14.25" customHeight="1">
      <c r="F598" s="69"/>
      <c r="G598" s="69"/>
      <c r="H598" s="81"/>
    </row>
    <row r="599" ht="14.25" customHeight="1">
      <c r="F599" s="69"/>
      <c r="G599" s="69"/>
      <c r="H599" s="81"/>
    </row>
    <row r="600" ht="14.25" customHeight="1">
      <c r="F600" s="69"/>
      <c r="G600" s="69"/>
      <c r="H600" s="81"/>
    </row>
    <row r="601" ht="14.25" customHeight="1">
      <c r="F601" s="69"/>
      <c r="G601" s="69"/>
      <c r="H601" s="81"/>
    </row>
    <row r="602" ht="14.25" customHeight="1">
      <c r="F602" s="69"/>
      <c r="G602" s="69"/>
      <c r="H602" s="81"/>
    </row>
    <row r="603" ht="14.25" customHeight="1">
      <c r="F603" s="69"/>
      <c r="G603" s="69"/>
      <c r="H603" s="81"/>
    </row>
    <row r="604" ht="14.25" customHeight="1">
      <c r="F604" s="69"/>
      <c r="G604" s="69"/>
      <c r="H604" s="81"/>
    </row>
    <row r="605" ht="14.25" customHeight="1">
      <c r="F605" s="69"/>
      <c r="G605" s="69"/>
      <c r="H605" s="81"/>
    </row>
    <row r="606" ht="14.25" customHeight="1">
      <c r="F606" s="69"/>
      <c r="G606" s="69"/>
      <c r="H606" s="81"/>
    </row>
    <row r="607" ht="14.25" customHeight="1">
      <c r="F607" s="69"/>
      <c r="G607" s="69"/>
      <c r="H607" s="81"/>
    </row>
    <row r="608" ht="14.25" customHeight="1">
      <c r="F608" s="69"/>
      <c r="G608" s="69"/>
      <c r="H608" s="81"/>
    </row>
    <row r="609" ht="14.25" customHeight="1">
      <c r="F609" s="69"/>
      <c r="G609" s="69"/>
      <c r="H609" s="81"/>
    </row>
    <row r="610" ht="14.25" customHeight="1">
      <c r="F610" s="69"/>
      <c r="G610" s="69"/>
      <c r="H610" s="81"/>
    </row>
    <row r="611" ht="14.25" customHeight="1">
      <c r="F611" s="69"/>
      <c r="G611" s="69"/>
      <c r="H611" s="81"/>
    </row>
    <row r="612" ht="14.25" customHeight="1">
      <c r="F612" s="69"/>
      <c r="G612" s="69"/>
      <c r="H612" s="81"/>
    </row>
    <row r="613" ht="14.25" customHeight="1">
      <c r="F613" s="69"/>
      <c r="G613" s="69"/>
      <c r="H613" s="81"/>
    </row>
    <row r="614" ht="14.25" customHeight="1">
      <c r="F614" s="69"/>
      <c r="G614" s="69"/>
      <c r="H614" s="81"/>
    </row>
    <row r="615" ht="14.25" customHeight="1">
      <c r="F615" s="69"/>
      <c r="G615" s="69"/>
      <c r="H615" s="81"/>
    </row>
    <row r="616" ht="14.25" customHeight="1">
      <c r="F616" s="69"/>
      <c r="G616" s="69"/>
      <c r="H616" s="81"/>
    </row>
    <row r="617" ht="14.25" customHeight="1">
      <c r="F617" s="69"/>
      <c r="G617" s="69"/>
      <c r="H617" s="81"/>
    </row>
    <row r="618" ht="14.25" customHeight="1">
      <c r="F618" s="69"/>
      <c r="G618" s="69"/>
      <c r="H618" s="81"/>
    </row>
    <row r="619" ht="14.25" customHeight="1">
      <c r="F619" s="69"/>
      <c r="G619" s="69"/>
      <c r="H619" s="81"/>
    </row>
    <row r="620" ht="14.25" customHeight="1">
      <c r="F620" s="69"/>
      <c r="G620" s="69"/>
      <c r="H620" s="81"/>
    </row>
    <row r="621" ht="14.25" customHeight="1">
      <c r="F621" s="69"/>
      <c r="G621" s="69"/>
      <c r="H621" s="81"/>
    </row>
    <row r="622" ht="14.25" customHeight="1">
      <c r="F622" s="69"/>
      <c r="G622" s="69"/>
      <c r="H622" s="81"/>
    </row>
    <row r="623" ht="14.25" customHeight="1">
      <c r="F623" s="69"/>
      <c r="G623" s="69"/>
      <c r="H623" s="81"/>
    </row>
    <row r="624" ht="14.25" customHeight="1">
      <c r="F624" s="69"/>
      <c r="G624" s="69"/>
      <c r="H624" s="81"/>
    </row>
    <row r="625" ht="14.25" customHeight="1">
      <c r="F625" s="69"/>
      <c r="G625" s="69"/>
      <c r="H625" s="81"/>
    </row>
    <row r="626" ht="14.25" customHeight="1">
      <c r="F626" s="69"/>
      <c r="G626" s="69"/>
      <c r="H626" s="81"/>
    </row>
    <row r="627" ht="14.25" customHeight="1">
      <c r="F627" s="69"/>
      <c r="G627" s="69"/>
      <c r="H627" s="81"/>
    </row>
    <row r="628" ht="14.25" customHeight="1">
      <c r="F628" s="69"/>
      <c r="G628" s="69"/>
      <c r="H628" s="81"/>
    </row>
    <row r="629" ht="14.25" customHeight="1">
      <c r="F629" s="69"/>
      <c r="G629" s="69"/>
      <c r="H629" s="81"/>
    </row>
    <row r="630" ht="14.25" customHeight="1">
      <c r="F630" s="69"/>
      <c r="G630" s="69"/>
      <c r="H630" s="81"/>
    </row>
    <row r="631" ht="14.25" customHeight="1">
      <c r="F631" s="69"/>
      <c r="G631" s="69"/>
      <c r="H631" s="81"/>
    </row>
    <row r="632" ht="14.25" customHeight="1">
      <c r="F632" s="69"/>
      <c r="G632" s="69"/>
      <c r="H632" s="81"/>
    </row>
    <row r="633" ht="14.25" customHeight="1">
      <c r="F633" s="69"/>
      <c r="G633" s="69"/>
      <c r="H633" s="81"/>
    </row>
    <row r="634" ht="14.25" customHeight="1">
      <c r="F634" s="69"/>
      <c r="G634" s="69"/>
      <c r="H634" s="81"/>
    </row>
    <row r="635" ht="14.25" customHeight="1">
      <c r="F635" s="69"/>
      <c r="G635" s="69"/>
      <c r="H635" s="81"/>
    </row>
    <row r="636" ht="14.25" customHeight="1">
      <c r="F636" s="69"/>
      <c r="G636" s="69"/>
      <c r="H636" s="81"/>
    </row>
    <row r="637" ht="14.25" customHeight="1">
      <c r="F637" s="69"/>
      <c r="G637" s="69"/>
      <c r="H637" s="81"/>
    </row>
    <row r="638" ht="14.25" customHeight="1">
      <c r="F638" s="69"/>
      <c r="G638" s="69"/>
      <c r="H638" s="81"/>
    </row>
    <row r="639" ht="14.25" customHeight="1">
      <c r="F639" s="69"/>
      <c r="G639" s="69"/>
      <c r="H639" s="81"/>
    </row>
    <row r="640" ht="14.25" customHeight="1">
      <c r="F640" s="69"/>
      <c r="G640" s="69"/>
      <c r="H640" s="81"/>
    </row>
    <row r="641" ht="14.25" customHeight="1">
      <c r="F641" s="69"/>
      <c r="G641" s="69"/>
      <c r="H641" s="81"/>
    </row>
    <row r="642" ht="14.25" customHeight="1">
      <c r="F642" s="69"/>
      <c r="G642" s="69"/>
      <c r="H642" s="81"/>
    </row>
    <row r="643" ht="14.25" customHeight="1">
      <c r="F643" s="69"/>
      <c r="G643" s="69"/>
      <c r="H643" s="81"/>
    </row>
    <row r="644" ht="14.25" customHeight="1">
      <c r="F644" s="69"/>
      <c r="G644" s="69"/>
      <c r="H644" s="81"/>
    </row>
    <row r="645" ht="14.25" customHeight="1">
      <c r="F645" s="69"/>
      <c r="G645" s="69"/>
      <c r="H645" s="81"/>
    </row>
    <row r="646" ht="14.25" customHeight="1">
      <c r="F646" s="69"/>
      <c r="G646" s="69"/>
      <c r="H646" s="81"/>
    </row>
    <row r="647" ht="14.25" customHeight="1">
      <c r="F647" s="69"/>
      <c r="G647" s="69"/>
      <c r="H647" s="81"/>
    </row>
    <row r="648" ht="14.25" customHeight="1">
      <c r="F648" s="69"/>
      <c r="G648" s="69"/>
      <c r="H648" s="81"/>
    </row>
    <row r="649" ht="14.25" customHeight="1">
      <c r="F649" s="69"/>
      <c r="G649" s="69"/>
      <c r="H649" s="81"/>
    </row>
    <row r="650" ht="14.25" customHeight="1">
      <c r="F650" s="69"/>
      <c r="G650" s="69"/>
      <c r="H650" s="81"/>
    </row>
    <row r="651" ht="14.25" customHeight="1">
      <c r="F651" s="69"/>
      <c r="G651" s="69"/>
      <c r="H651" s="81"/>
    </row>
    <row r="652" ht="14.25" customHeight="1">
      <c r="F652" s="69"/>
      <c r="G652" s="69"/>
      <c r="H652" s="81"/>
    </row>
    <row r="653" ht="14.25" customHeight="1">
      <c r="F653" s="69"/>
      <c r="G653" s="69"/>
      <c r="H653" s="81"/>
    </row>
    <row r="654" ht="14.25" customHeight="1">
      <c r="F654" s="69"/>
      <c r="G654" s="69"/>
      <c r="H654" s="81"/>
    </row>
    <row r="655" ht="14.25" customHeight="1">
      <c r="F655" s="69"/>
      <c r="G655" s="69"/>
      <c r="H655" s="81"/>
    </row>
    <row r="656" ht="14.25" customHeight="1">
      <c r="F656" s="69"/>
      <c r="G656" s="69"/>
      <c r="H656" s="81"/>
    </row>
    <row r="657" ht="14.25" customHeight="1">
      <c r="F657" s="69"/>
      <c r="G657" s="69"/>
      <c r="H657" s="81"/>
    </row>
    <row r="658" ht="14.25" customHeight="1">
      <c r="F658" s="69"/>
      <c r="G658" s="69"/>
      <c r="H658" s="81"/>
    </row>
    <row r="659" ht="14.25" customHeight="1">
      <c r="F659" s="69"/>
      <c r="G659" s="69"/>
      <c r="H659" s="81"/>
    </row>
    <row r="660" ht="14.25" customHeight="1">
      <c r="F660" s="69"/>
      <c r="G660" s="69"/>
      <c r="H660" s="81"/>
    </row>
    <row r="661" ht="14.25" customHeight="1">
      <c r="F661" s="69"/>
      <c r="G661" s="69"/>
      <c r="H661" s="81"/>
    </row>
    <row r="662" ht="14.25" customHeight="1">
      <c r="F662" s="69"/>
      <c r="G662" s="69"/>
      <c r="H662" s="81"/>
    </row>
    <row r="663" ht="14.25" customHeight="1">
      <c r="F663" s="69"/>
      <c r="G663" s="69"/>
      <c r="H663" s="81"/>
    </row>
    <row r="664" ht="14.25" customHeight="1">
      <c r="F664" s="69"/>
      <c r="G664" s="69"/>
      <c r="H664" s="81"/>
    </row>
    <row r="665" ht="14.25" customHeight="1">
      <c r="F665" s="69"/>
      <c r="G665" s="69"/>
      <c r="H665" s="81"/>
    </row>
    <row r="666" ht="14.25" customHeight="1">
      <c r="F666" s="69"/>
      <c r="G666" s="69"/>
      <c r="H666" s="81"/>
    </row>
    <row r="667" ht="14.25" customHeight="1">
      <c r="F667" s="69"/>
      <c r="G667" s="69"/>
      <c r="H667" s="81"/>
    </row>
    <row r="668" ht="14.25" customHeight="1">
      <c r="F668" s="69"/>
      <c r="G668" s="69"/>
      <c r="H668" s="81"/>
    </row>
    <row r="669" ht="14.25" customHeight="1">
      <c r="F669" s="69"/>
      <c r="G669" s="69"/>
      <c r="H669" s="81"/>
    </row>
    <row r="670" ht="14.25" customHeight="1">
      <c r="F670" s="69"/>
      <c r="G670" s="69"/>
      <c r="H670" s="81"/>
    </row>
    <row r="671" ht="14.25" customHeight="1">
      <c r="F671" s="69"/>
      <c r="G671" s="69"/>
      <c r="H671" s="81"/>
    </row>
    <row r="672" ht="14.25" customHeight="1">
      <c r="F672" s="69"/>
      <c r="G672" s="69"/>
      <c r="H672" s="81"/>
    </row>
    <row r="673" ht="14.25" customHeight="1">
      <c r="F673" s="69"/>
      <c r="G673" s="69"/>
      <c r="H673" s="81"/>
    </row>
    <row r="674" ht="14.25" customHeight="1">
      <c r="F674" s="69"/>
      <c r="G674" s="69"/>
      <c r="H674" s="81"/>
    </row>
    <row r="675" ht="14.25" customHeight="1">
      <c r="F675" s="69"/>
      <c r="G675" s="69"/>
      <c r="H675" s="81"/>
    </row>
    <row r="676" ht="14.25" customHeight="1">
      <c r="F676" s="69"/>
      <c r="G676" s="69"/>
      <c r="H676" s="81"/>
    </row>
    <row r="677" ht="14.25" customHeight="1">
      <c r="F677" s="69"/>
      <c r="G677" s="69"/>
      <c r="H677" s="81"/>
    </row>
    <row r="678" ht="14.25" customHeight="1">
      <c r="F678" s="69"/>
      <c r="G678" s="69"/>
      <c r="H678" s="81"/>
    </row>
    <row r="679" ht="14.25" customHeight="1">
      <c r="F679" s="69"/>
      <c r="G679" s="69"/>
      <c r="H679" s="81"/>
    </row>
    <row r="680" ht="14.25" customHeight="1">
      <c r="F680" s="69"/>
      <c r="G680" s="69"/>
      <c r="H680" s="81"/>
    </row>
    <row r="681" ht="14.25" customHeight="1">
      <c r="F681" s="69"/>
      <c r="G681" s="69"/>
      <c r="H681" s="81"/>
    </row>
    <row r="682" ht="14.25" customHeight="1">
      <c r="F682" s="69"/>
      <c r="G682" s="69"/>
      <c r="H682" s="81"/>
    </row>
    <row r="683" ht="14.25" customHeight="1">
      <c r="F683" s="69"/>
      <c r="G683" s="69"/>
      <c r="H683" s="81"/>
    </row>
    <row r="684" ht="14.25" customHeight="1">
      <c r="F684" s="69"/>
      <c r="G684" s="69"/>
      <c r="H684" s="81"/>
    </row>
    <row r="685" ht="14.25" customHeight="1">
      <c r="F685" s="69"/>
      <c r="G685" s="69"/>
      <c r="H685" s="81"/>
    </row>
    <row r="686" ht="14.25" customHeight="1">
      <c r="F686" s="69"/>
      <c r="G686" s="69"/>
      <c r="H686" s="81"/>
    </row>
    <row r="687" ht="14.25" customHeight="1">
      <c r="F687" s="69"/>
      <c r="G687" s="69"/>
      <c r="H687" s="81"/>
    </row>
    <row r="688" ht="14.25" customHeight="1">
      <c r="F688" s="69"/>
      <c r="G688" s="69"/>
      <c r="H688" s="81"/>
    </row>
    <row r="689" ht="14.25" customHeight="1">
      <c r="F689" s="69"/>
      <c r="G689" s="69"/>
      <c r="H689" s="81"/>
    </row>
    <row r="690" ht="14.25" customHeight="1">
      <c r="F690" s="69"/>
      <c r="G690" s="69"/>
      <c r="H690" s="81"/>
    </row>
    <row r="691" ht="14.25" customHeight="1">
      <c r="F691" s="69"/>
      <c r="G691" s="69"/>
      <c r="H691" s="81"/>
    </row>
    <row r="692" ht="14.25" customHeight="1">
      <c r="F692" s="69"/>
      <c r="G692" s="69"/>
      <c r="H692" s="81"/>
    </row>
    <row r="693" ht="14.25" customHeight="1">
      <c r="F693" s="69"/>
      <c r="G693" s="69"/>
      <c r="H693" s="81"/>
    </row>
    <row r="694" ht="14.25" customHeight="1">
      <c r="F694" s="69"/>
      <c r="G694" s="69"/>
      <c r="H694" s="81"/>
    </row>
    <row r="695" ht="14.25" customHeight="1">
      <c r="F695" s="69"/>
      <c r="G695" s="69"/>
      <c r="H695" s="81"/>
    </row>
    <row r="696" ht="14.25" customHeight="1">
      <c r="F696" s="69"/>
      <c r="G696" s="69"/>
      <c r="H696" s="81"/>
    </row>
    <row r="697" ht="14.25" customHeight="1">
      <c r="F697" s="69"/>
      <c r="G697" s="69"/>
      <c r="H697" s="81"/>
    </row>
    <row r="698" ht="14.25" customHeight="1">
      <c r="F698" s="69"/>
      <c r="G698" s="69"/>
      <c r="H698" s="81"/>
    </row>
    <row r="699" ht="14.25" customHeight="1">
      <c r="F699" s="69"/>
      <c r="G699" s="69"/>
      <c r="H699" s="81"/>
    </row>
    <row r="700" ht="14.25" customHeight="1">
      <c r="F700" s="69"/>
      <c r="G700" s="69"/>
      <c r="H700" s="81"/>
    </row>
    <row r="701" ht="14.25" customHeight="1">
      <c r="F701" s="69"/>
      <c r="G701" s="69"/>
      <c r="H701" s="81"/>
    </row>
    <row r="702" ht="14.25" customHeight="1">
      <c r="F702" s="69"/>
      <c r="G702" s="69"/>
      <c r="H702" s="81"/>
    </row>
    <row r="703" ht="14.25" customHeight="1">
      <c r="F703" s="69"/>
      <c r="G703" s="69"/>
      <c r="H703" s="81"/>
    </row>
    <row r="704" ht="14.25" customHeight="1">
      <c r="F704" s="69"/>
      <c r="G704" s="69"/>
      <c r="H704" s="81"/>
    </row>
    <row r="705" ht="14.25" customHeight="1">
      <c r="F705" s="69"/>
      <c r="G705" s="69"/>
      <c r="H705" s="81"/>
    </row>
    <row r="706" ht="14.25" customHeight="1">
      <c r="F706" s="69"/>
      <c r="G706" s="69"/>
      <c r="H706" s="81"/>
    </row>
    <row r="707" ht="14.25" customHeight="1">
      <c r="F707" s="69"/>
      <c r="G707" s="69"/>
      <c r="H707" s="81"/>
    </row>
    <row r="708" ht="14.25" customHeight="1">
      <c r="F708" s="69"/>
      <c r="G708" s="69"/>
      <c r="H708" s="81"/>
    </row>
    <row r="709" ht="14.25" customHeight="1">
      <c r="F709" s="69"/>
      <c r="G709" s="69"/>
      <c r="H709" s="81"/>
    </row>
    <row r="710" ht="14.25" customHeight="1">
      <c r="F710" s="69"/>
      <c r="G710" s="69"/>
      <c r="H710" s="81"/>
    </row>
    <row r="711" ht="14.25" customHeight="1">
      <c r="F711" s="69"/>
      <c r="G711" s="69"/>
      <c r="H711" s="81"/>
    </row>
    <row r="712" ht="14.25" customHeight="1">
      <c r="F712" s="69"/>
      <c r="G712" s="69"/>
      <c r="H712" s="81"/>
    </row>
    <row r="713" ht="14.25" customHeight="1">
      <c r="F713" s="69"/>
      <c r="G713" s="69"/>
      <c r="H713" s="81"/>
    </row>
    <row r="714" ht="14.25" customHeight="1">
      <c r="F714" s="69"/>
      <c r="G714" s="69"/>
      <c r="H714" s="81"/>
    </row>
    <row r="715" ht="14.25" customHeight="1">
      <c r="F715" s="69"/>
      <c r="G715" s="69"/>
      <c r="H715" s="81"/>
    </row>
    <row r="716" ht="14.25" customHeight="1">
      <c r="F716" s="69"/>
      <c r="G716" s="69"/>
      <c r="H716" s="81"/>
    </row>
    <row r="717" ht="14.25" customHeight="1">
      <c r="F717" s="69"/>
      <c r="G717" s="69"/>
      <c r="H717" s="81"/>
    </row>
    <row r="718" ht="14.25" customHeight="1">
      <c r="F718" s="69"/>
      <c r="G718" s="69"/>
      <c r="H718" s="81"/>
    </row>
    <row r="719" ht="14.25" customHeight="1">
      <c r="F719" s="69"/>
      <c r="G719" s="69"/>
      <c r="H719" s="81"/>
    </row>
    <row r="720" ht="14.25" customHeight="1">
      <c r="F720" s="69"/>
      <c r="G720" s="69"/>
      <c r="H720" s="81"/>
    </row>
    <row r="721" ht="14.25" customHeight="1">
      <c r="F721" s="69"/>
      <c r="G721" s="69"/>
      <c r="H721" s="81"/>
    </row>
    <row r="722" ht="14.25" customHeight="1">
      <c r="F722" s="69"/>
      <c r="G722" s="69"/>
      <c r="H722" s="81"/>
    </row>
    <row r="723" ht="14.25" customHeight="1">
      <c r="F723" s="69"/>
      <c r="G723" s="69"/>
      <c r="H723" s="81"/>
    </row>
    <row r="724" ht="14.25" customHeight="1">
      <c r="F724" s="69"/>
      <c r="G724" s="69"/>
      <c r="H724" s="81"/>
    </row>
    <row r="725" ht="14.25" customHeight="1">
      <c r="F725" s="69"/>
      <c r="G725" s="69"/>
      <c r="H725" s="81"/>
    </row>
    <row r="726" ht="14.25" customHeight="1">
      <c r="F726" s="69"/>
      <c r="G726" s="69"/>
      <c r="H726" s="81"/>
    </row>
    <row r="727" ht="14.25" customHeight="1">
      <c r="F727" s="69"/>
      <c r="G727" s="69"/>
      <c r="H727" s="81"/>
    </row>
    <row r="728" ht="14.25" customHeight="1">
      <c r="F728" s="69"/>
      <c r="G728" s="69"/>
      <c r="H728" s="81"/>
    </row>
    <row r="729" ht="14.25" customHeight="1">
      <c r="F729" s="69"/>
      <c r="G729" s="69"/>
      <c r="H729" s="81"/>
    </row>
    <row r="730" ht="14.25" customHeight="1">
      <c r="F730" s="69"/>
      <c r="G730" s="69"/>
      <c r="H730" s="81"/>
    </row>
    <row r="731" ht="14.25" customHeight="1">
      <c r="F731" s="69"/>
      <c r="G731" s="69"/>
      <c r="H731" s="81"/>
    </row>
    <row r="732" ht="14.25" customHeight="1">
      <c r="F732" s="69"/>
      <c r="G732" s="69"/>
      <c r="H732" s="81"/>
    </row>
    <row r="733" ht="14.25" customHeight="1">
      <c r="F733" s="69"/>
      <c r="G733" s="69"/>
      <c r="H733" s="81"/>
    </row>
    <row r="734" ht="14.25" customHeight="1">
      <c r="F734" s="69"/>
      <c r="G734" s="69"/>
      <c r="H734" s="81"/>
    </row>
    <row r="735" ht="14.25" customHeight="1">
      <c r="F735" s="69"/>
      <c r="G735" s="69"/>
      <c r="H735" s="81"/>
    </row>
    <row r="736" ht="14.25" customHeight="1">
      <c r="F736" s="69"/>
      <c r="G736" s="69"/>
      <c r="H736" s="81"/>
    </row>
    <row r="737" ht="14.25" customHeight="1">
      <c r="F737" s="69"/>
      <c r="G737" s="69"/>
      <c r="H737" s="81"/>
    </row>
    <row r="738" ht="14.25" customHeight="1">
      <c r="F738" s="69"/>
      <c r="G738" s="69"/>
      <c r="H738" s="81"/>
    </row>
    <row r="739" ht="14.25" customHeight="1">
      <c r="F739" s="69"/>
      <c r="G739" s="69"/>
      <c r="H739" s="81"/>
    </row>
    <row r="740" ht="14.25" customHeight="1">
      <c r="F740" s="69"/>
      <c r="G740" s="69"/>
      <c r="H740" s="81"/>
    </row>
    <row r="741" ht="14.25" customHeight="1">
      <c r="F741" s="69"/>
      <c r="G741" s="69"/>
      <c r="H741" s="81"/>
    </row>
    <row r="742" ht="14.25" customHeight="1">
      <c r="F742" s="69"/>
      <c r="G742" s="69"/>
      <c r="H742" s="81"/>
    </row>
    <row r="743" ht="14.25" customHeight="1">
      <c r="F743" s="69"/>
      <c r="G743" s="69"/>
      <c r="H743" s="81"/>
    </row>
    <row r="744" ht="14.25" customHeight="1">
      <c r="F744" s="69"/>
      <c r="G744" s="69"/>
      <c r="H744" s="81"/>
    </row>
    <row r="745" ht="14.25" customHeight="1">
      <c r="F745" s="69"/>
      <c r="G745" s="69"/>
      <c r="H745" s="81"/>
    </row>
    <row r="746" ht="14.25" customHeight="1">
      <c r="F746" s="69"/>
      <c r="G746" s="69"/>
      <c r="H746" s="81"/>
    </row>
    <row r="747" ht="14.25" customHeight="1">
      <c r="F747" s="69"/>
      <c r="G747" s="69"/>
      <c r="H747" s="81"/>
    </row>
    <row r="748" ht="14.25" customHeight="1">
      <c r="F748" s="69"/>
      <c r="G748" s="69"/>
      <c r="H748" s="81"/>
    </row>
    <row r="749" ht="14.25" customHeight="1">
      <c r="F749" s="69"/>
      <c r="G749" s="69"/>
      <c r="H749" s="81"/>
    </row>
    <row r="750" ht="14.25" customHeight="1">
      <c r="F750" s="69"/>
      <c r="G750" s="69"/>
      <c r="H750" s="81"/>
    </row>
    <row r="751" ht="14.25" customHeight="1">
      <c r="F751" s="69"/>
      <c r="G751" s="69"/>
      <c r="H751" s="81"/>
    </row>
    <row r="752" ht="14.25" customHeight="1">
      <c r="F752" s="69"/>
      <c r="G752" s="69"/>
      <c r="H752" s="81"/>
    </row>
    <row r="753" ht="14.25" customHeight="1">
      <c r="F753" s="69"/>
      <c r="G753" s="69"/>
      <c r="H753" s="81"/>
    </row>
    <row r="754" ht="14.25" customHeight="1">
      <c r="F754" s="69"/>
      <c r="G754" s="69"/>
      <c r="H754" s="81"/>
    </row>
    <row r="755" ht="14.25" customHeight="1">
      <c r="F755" s="69"/>
      <c r="G755" s="69"/>
      <c r="H755" s="81"/>
    </row>
    <row r="756" ht="14.25" customHeight="1">
      <c r="F756" s="69"/>
      <c r="G756" s="69"/>
      <c r="H756" s="81"/>
    </row>
    <row r="757" ht="14.25" customHeight="1">
      <c r="F757" s="69"/>
      <c r="G757" s="69"/>
      <c r="H757" s="81"/>
    </row>
    <row r="758" ht="14.25" customHeight="1">
      <c r="F758" s="69"/>
      <c r="G758" s="69"/>
      <c r="H758" s="81"/>
    </row>
    <row r="759" ht="14.25" customHeight="1">
      <c r="F759" s="69"/>
      <c r="G759" s="69"/>
      <c r="H759" s="81"/>
    </row>
    <row r="760" ht="14.25" customHeight="1">
      <c r="F760" s="69"/>
      <c r="G760" s="69"/>
      <c r="H760" s="81"/>
    </row>
    <row r="761" ht="14.25" customHeight="1">
      <c r="F761" s="69"/>
      <c r="G761" s="69"/>
      <c r="H761" s="81"/>
    </row>
    <row r="762" ht="14.25" customHeight="1">
      <c r="F762" s="69"/>
      <c r="G762" s="69"/>
      <c r="H762" s="81"/>
    </row>
    <row r="763" ht="14.25" customHeight="1">
      <c r="F763" s="69"/>
      <c r="G763" s="69"/>
      <c r="H763" s="81"/>
    </row>
    <row r="764" ht="14.25" customHeight="1">
      <c r="F764" s="69"/>
      <c r="G764" s="69"/>
      <c r="H764" s="81"/>
    </row>
    <row r="765" ht="14.25" customHeight="1">
      <c r="F765" s="69"/>
      <c r="G765" s="69"/>
      <c r="H765" s="81"/>
    </row>
    <row r="766" ht="14.25" customHeight="1">
      <c r="F766" s="69"/>
      <c r="G766" s="69"/>
      <c r="H766" s="81"/>
    </row>
    <row r="767" ht="14.25" customHeight="1">
      <c r="F767" s="69"/>
      <c r="G767" s="69"/>
      <c r="H767" s="81"/>
    </row>
    <row r="768" ht="14.25" customHeight="1">
      <c r="F768" s="69"/>
      <c r="G768" s="69"/>
      <c r="H768" s="81"/>
    </row>
    <row r="769" ht="14.25" customHeight="1">
      <c r="F769" s="69"/>
      <c r="G769" s="69"/>
      <c r="H769" s="81"/>
    </row>
    <row r="770" ht="14.25" customHeight="1">
      <c r="F770" s="69"/>
      <c r="G770" s="69"/>
      <c r="H770" s="81"/>
    </row>
    <row r="771" ht="14.25" customHeight="1">
      <c r="F771" s="69"/>
      <c r="G771" s="69"/>
      <c r="H771" s="81"/>
    </row>
    <row r="772" ht="14.25" customHeight="1">
      <c r="F772" s="69"/>
      <c r="G772" s="69"/>
      <c r="H772" s="81"/>
    </row>
    <row r="773" ht="14.25" customHeight="1">
      <c r="F773" s="69"/>
      <c r="G773" s="69"/>
      <c r="H773" s="81"/>
    </row>
    <row r="774" ht="14.25" customHeight="1">
      <c r="F774" s="69"/>
      <c r="G774" s="69"/>
      <c r="H774" s="81"/>
    </row>
    <row r="775" ht="14.25" customHeight="1">
      <c r="F775" s="69"/>
      <c r="G775" s="69"/>
      <c r="H775" s="81"/>
    </row>
    <row r="776" ht="14.25" customHeight="1">
      <c r="F776" s="69"/>
      <c r="G776" s="69"/>
      <c r="H776" s="81"/>
    </row>
    <row r="777" ht="14.25" customHeight="1">
      <c r="F777" s="69"/>
      <c r="G777" s="69"/>
      <c r="H777" s="81"/>
    </row>
    <row r="778" ht="14.25" customHeight="1">
      <c r="F778" s="69"/>
      <c r="G778" s="69"/>
      <c r="H778" s="81"/>
    </row>
    <row r="779" ht="14.25" customHeight="1">
      <c r="F779" s="69"/>
      <c r="G779" s="69"/>
      <c r="H779" s="81"/>
    </row>
    <row r="780" ht="14.25" customHeight="1">
      <c r="F780" s="69"/>
      <c r="G780" s="69"/>
      <c r="H780" s="81"/>
    </row>
    <row r="781" ht="14.25" customHeight="1">
      <c r="F781" s="69"/>
      <c r="G781" s="69"/>
      <c r="H781" s="81"/>
    </row>
    <row r="782" ht="14.25" customHeight="1">
      <c r="F782" s="69"/>
      <c r="G782" s="69"/>
      <c r="H782" s="81"/>
    </row>
    <row r="783" ht="14.25" customHeight="1">
      <c r="F783" s="69"/>
      <c r="G783" s="69"/>
      <c r="H783" s="81"/>
    </row>
    <row r="784" ht="14.25" customHeight="1">
      <c r="F784" s="69"/>
      <c r="G784" s="69"/>
      <c r="H784" s="81"/>
    </row>
    <row r="785" ht="14.25" customHeight="1">
      <c r="F785" s="69"/>
      <c r="G785" s="69"/>
      <c r="H785" s="81"/>
    </row>
    <row r="786" ht="14.25" customHeight="1">
      <c r="F786" s="69"/>
      <c r="G786" s="69"/>
      <c r="H786" s="81"/>
    </row>
    <row r="787" ht="14.25" customHeight="1">
      <c r="F787" s="69"/>
      <c r="G787" s="69"/>
      <c r="H787" s="81"/>
    </row>
    <row r="788" ht="14.25" customHeight="1">
      <c r="F788" s="69"/>
      <c r="G788" s="69"/>
      <c r="H788" s="81"/>
    </row>
    <row r="789" ht="14.25" customHeight="1">
      <c r="F789" s="69"/>
      <c r="G789" s="69"/>
      <c r="H789" s="81"/>
    </row>
    <row r="790" ht="14.25" customHeight="1">
      <c r="F790" s="69"/>
      <c r="G790" s="69"/>
      <c r="H790" s="81"/>
    </row>
    <row r="791" ht="14.25" customHeight="1">
      <c r="F791" s="69"/>
      <c r="G791" s="69"/>
      <c r="H791" s="81"/>
    </row>
    <row r="792" ht="14.25" customHeight="1">
      <c r="F792" s="69"/>
      <c r="G792" s="69"/>
      <c r="H792" s="81"/>
    </row>
    <row r="793" ht="14.25" customHeight="1">
      <c r="F793" s="69"/>
      <c r="G793" s="69"/>
      <c r="H793" s="81"/>
    </row>
    <row r="794" ht="14.25" customHeight="1">
      <c r="F794" s="69"/>
      <c r="G794" s="69"/>
      <c r="H794" s="81"/>
    </row>
    <row r="795" ht="14.25" customHeight="1">
      <c r="F795" s="69"/>
      <c r="G795" s="69"/>
      <c r="H795" s="81"/>
    </row>
    <row r="796" ht="14.25" customHeight="1">
      <c r="F796" s="69"/>
      <c r="G796" s="69"/>
      <c r="H796" s="81"/>
    </row>
    <row r="797" ht="14.25" customHeight="1">
      <c r="F797" s="69"/>
      <c r="G797" s="69"/>
      <c r="H797" s="81"/>
    </row>
    <row r="798" ht="14.25" customHeight="1">
      <c r="F798" s="69"/>
      <c r="G798" s="69"/>
      <c r="H798" s="81"/>
    </row>
    <row r="799" ht="14.25" customHeight="1">
      <c r="F799" s="69"/>
      <c r="G799" s="69"/>
      <c r="H799" s="81"/>
    </row>
    <row r="800" ht="14.25" customHeight="1">
      <c r="F800" s="69"/>
      <c r="G800" s="69"/>
      <c r="H800" s="81"/>
    </row>
    <row r="801" ht="14.25" customHeight="1">
      <c r="F801" s="69"/>
      <c r="G801" s="69"/>
      <c r="H801" s="81"/>
    </row>
    <row r="802" ht="14.25" customHeight="1">
      <c r="F802" s="69"/>
      <c r="G802" s="69"/>
      <c r="H802" s="81"/>
    </row>
    <row r="803" ht="14.25" customHeight="1">
      <c r="F803" s="69"/>
      <c r="G803" s="69"/>
      <c r="H803" s="81"/>
    </row>
    <row r="804" ht="14.25" customHeight="1">
      <c r="F804" s="69"/>
      <c r="G804" s="69"/>
      <c r="H804" s="81"/>
    </row>
    <row r="805" ht="14.25" customHeight="1">
      <c r="F805" s="69"/>
      <c r="G805" s="69"/>
      <c r="H805" s="81"/>
    </row>
    <row r="806" ht="14.25" customHeight="1">
      <c r="F806" s="69"/>
      <c r="G806" s="69"/>
      <c r="H806" s="81"/>
    </row>
    <row r="807" ht="14.25" customHeight="1">
      <c r="F807" s="69"/>
      <c r="G807" s="69"/>
      <c r="H807" s="81"/>
    </row>
    <row r="808" ht="14.25" customHeight="1">
      <c r="F808" s="69"/>
      <c r="G808" s="69"/>
      <c r="H808" s="81"/>
    </row>
    <row r="809" ht="14.25" customHeight="1">
      <c r="F809" s="69"/>
      <c r="G809" s="69"/>
      <c r="H809" s="81"/>
    </row>
    <row r="810" ht="14.25" customHeight="1">
      <c r="F810" s="69"/>
      <c r="G810" s="69"/>
      <c r="H810" s="81"/>
    </row>
    <row r="811" ht="14.25" customHeight="1">
      <c r="F811" s="69"/>
      <c r="G811" s="69"/>
      <c r="H811" s="81"/>
    </row>
    <row r="812" ht="14.25" customHeight="1">
      <c r="F812" s="69"/>
      <c r="G812" s="69"/>
      <c r="H812" s="81"/>
    </row>
    <row r="813" ht="14.25" customHeight="1">
      <c r="F813" s="69"/>
      <c r="G813" s="69"/>
      <c r="H813" s="81"/>
    </row>
    <row r="814" ht="14.25" customHeight="1">
      <c r="F814" s="69"/>
      <c r="G814" s="69"/>
      <c r="H814" s="81"/>
    </row>
    <row r="815" ht="14.25" customHeight="1">
      <c r="F815" s="69"/>
      <c r="G815" s="69"/>
      <c r="H815" s="81"/>
    </row>
    <row r="816" ht="14.25" customHeight="1">
      <c r="F816" s="69"/>
      <c r="G816" s="69"/>
      <c r="H816" s="81"/>
    </row>
    <row r="817" ht="14.25" customHeight="1">
      <c r="F817" s="69"/>
      <c r="G817" s="69"/>
      <c r="H817" s="81"/>
    </row>
    <row r="818" ht="14.25" customHeight="1">
      <c r="F818" s="69"/>
      <c r="G818" s="69"/>
      <c r="H818" s="81"/>
    </row>
    <row r="819" ht="14.25" customHeight="1">
      <c r="F819" s="69"/>
      <c r="G819" s="69"/>
      <c r="H819" s="81"/>
    </row>
    <row r="820" ht="14.25" customHeight="1">
      <c r="F820" s="69"/>
      <c r="G820" s="69"/>
      <c r="H820" s="81"/>
    </row>
    <row r="821" ht="14.25" customHeight="1">
      <c r="F821" s="69"/>
      <c r="G821" s="69"/>
      <c r="H821" s="81"/>
    </row>
    <row r="822" ht="14.25" customHeight="1">
      <c r="F822" s="69"/>
      <c r="G822" s="69"/>
      <c r="H822" s="81"/>
    </row>
    <row r="823" ht="14.25" customHeight="1">
      <c r="F823" s="69"/>
      <c r="G823" s="69"/>
      <c r="H823" s="81"/>
    </row>
    <row r="824" ht="14.25" customHeight="1">
      <c r="F824" s="69"/>
      <c r="G824" s="69"/>
      <c r="H824" s="81"/>
    </row>
    <row r="825" ht="14.25" customHeight="1">
      <c r="F825" s="69"/>
      <c r="G825" s="69"/>
      <c r="H825" s="81"/>
    </row>
    <row r="826" ht="14.25" customHeight="1">
      <c r="F826" s="69"/>
      <c r="G826" s="69"/>
      <c r="H826" s="81"/>
    </row>
    <row r="827" ht="14.25" customHeight="1">
      <c r="F827" s="69"/>
      <c r="G827" s="69"/>
      <c r="H827" s="81"/>
    </row>
    <row r="828" ht="14.25" customHeight="1">
      <c r="F828" s="69"/>
      <c r="G828" s="69"/>
      <c r="H828" s="81"/>
    </row>
    <row r="829" ht="14.25" customHeight="1">
      <c r="F829" s="69"/>
      <c r="G829" s="69"/>
      <c r="H829" s="81"/>
    </row>
    <row r="830" ht="14.25" customHeight="1">
      <c r="F830" s="69"/>
      <c r="G830" s="69"/>
      <c r="H830" s="81"/>
    </row>
    <row r="831" ht="14.25" customHeight="1">
      <c r="F831" s="69"/>
      <c r="G831" s="69"/>
      <c r="H831" s="81"/>
    </row>
    <row r="832" ht="14.25" customHeight="1">
      <c r="F832" s="69"/>
      <c r="G832" s="69"/>
      <c r="H832" s="81"/>
    </row>
    <row r="833" ht="14.25" customHeight="1">
      <c r="F833" s="69"/>
      <c r="G833" s="69"/>
      <c r="H833" s="81"/>
    </row>
    <row r="834" ht="14.25" customHeight="1">
      <c r="F834" s="69"/>
      <c r="G834" s="69"/>
      <c r="H834" s="81"/>
    </row>
    <row r="835" ht="14.25" customHeight="1">
      <c r="F835" s="69"/>
      <c r="G835" s="69"/>
      <c r="H835" s="81"/>
    </row>
    <row r="836" ht="14.25" customHeight="1">
      <c r="F836" s="69"/>
      <c r="G836" s="69"/>
      <c r="H836" s="81"/>
    </row>
    <row r="837" ht="14.25" customHeight="1">
      <c r="F837" s="69"/>
      <c r="G837" s="69"/>
      <c r="H837" s="81"/>
    </row>
    <row r="838" ht="14.25" customHeight="1">
      <c r="F838" s="69"/>
      <c r="G838" s="69"/>
      <c r="H838" s="81"/>
    </row>
    <row r="839" ht="14.25" customHeight="1">
      <c r="F839" s="69"/>
      <c r="G839" s="69"/>
      <c r="H839" s="81"/>
    </row>
    <row r="840" ht="14.25" customHeight="1">
      <c r="F840" s="69"/>
      <c r="G840" s="69"/>
      <c r="H840" s="81"/>
    </row>
    <row r="841" ht="14.25" customHeight="1">
      <c r="F841" s="69"/>
      <c r="G841" s="69"/>
      <c r="H841" s="81"/>
    </row>
    <row r="842" ht="14.25" customHeight="1">
      <c r="F842" s="69"/>
      <c r="G842" s="69"/>
      <c r="H842" s="81"/>
    </row>
    <row r="843" ht="14.25" customHeight="1">
      <c r="F843" s="69"/>
      <c r="G843" s="69"/>
      <c r="H843" s="81"/>
    </row>
    <row r="844" ht="14.25" customHeight="1">
      <c r="F844" s="69"/>
      <c r="G844" s="69"/>
      <c r="H844" s="81"/>
    </row>
    <row r="845" ht="14.25" customHeight="1">
      <c r="F845" s="69"/>
      <c r="G845" s="69"/>
      <c r="H845" s="81"/>
    </row>
    <row r="846" ht="14.25" customHeight="1">
      <c r="F846" s="69"/>
      <c r="G846" s="69"/>
      <c r="H846" s="81"/>
    </row>
    <row r="847" ht="14.25" customHeight="1">
      <c r="F847" s="69"/>
      <c r="G847" s="69"/>
      <c r="H847" s="81"/>
    </row>
    <row r="848" ht="14.25" customHeight="1">
      <c r="F848" s="69"/>
      <c r="G848" s="69"/>
      <c r="H848" s="81"/>
    </row>
    <row r="849" ht="14.25" customHeight="1">
      <c r="F849" s="69"/>
      <c r="G849" s="69"/>
      <c r="H849" s="81"/>
    </row>
    <row r="850" ht="14.25" customHeight="1">
      <c r="F850" s="69"/>
      <c r="G850" s="69"/>
      <c r="H850" s="81"/>
    </row>
    <row r="851" ht="14.25" customHeight="1">
      <c r="F851" s="69"/>
      <c r="G851" s="69"/>
      <c r="H851" s="81"/>
    </row>
    <row r="852" ht="14.25" customHeight="1">
      <c r="F852" s="69"/>
      <c r="G852" s="69"/>
      <c r="H852" s="81"/>
    </row>
    <row r="853" ht="14.25" customHeight="1">
      <c r="F853" s="69"/>
      <c r="G853" s="69"/>
      <c r="H853" s="81"/>
    </row>
    <row r="854" ht="14.25" customHeight="1">
      <c r="F854" s="69"/>
      <c r="G854" s="69"/>
      <c r="H854" s="81"/>
    </row>
    <row r="855" ht="14.25" customHeight="1">
      <c r="F855" s="69"/>
      <c r="G855" s="69"/>
      <c r="H855" s="81"/>
    </row>
    <row r="856" ht="14.25" customHeight="1">
      <c r="F856" s="69"/>
      <c r="G856" s="69"/>
      <c r="H856" s="81"/>
    </row>
    <row r="857" ht="14.25" customHeight="1">
      <c r="F857" s="69"/>
      <c r="G857" s="69"/>
      <c r="H857" s="81"/>
    </row>
    <row r="858" ht="14.25" customHeight="1">
      <c r="F858" s="69"/>
      <c r="G858" s="69"/>
      <c r="H858" s="81"/>
    </row>
    <row r="859" ht="14.25" customHeight="1">
      <c r="F859" s="69"/>
      <c r="G859" s="69"/>
      <c r="H859" s="81"/>
    </row>
    <row r="860" ht="14.25" customHeight="1">
      <c r="F860" s="69"/>
      <c r="G860" s="69"/>
      <c r="H860" s="81"/>
    </row>
    <row r="861" ht="14.25" customHeight="1">
      <c r="F861" s="69"/>
      <c r="G861" s="69"/>
      <c r="H861" s="81"/>
    </row>
    <row r="862" ht="14.25" customHeight="1">
      <c r="F862" s="69"/>
      <c r="G862" s="69"/>
      <c r="H862" s="81"/>
    </row>
    <row r="863" ht="14.25" customHeight="1">
      <c r="F863" s="69"/>
      <c r="G863" s="69"/>
      <c r="H863" s="81"/>
    </row>
    <row r="864" ht="14.25" customHeight="1">
      <c r="F864" s="69"/>
      <c r="G864" s="69"/>
      <c r="H864" s="81"/>
    </row>
    <row r="865" ht="14.25" customHeight="1">
      <c r="F865" s="69"/>
      <c r="G865" s="69"/>
      <c r="H865" s="81"/>
    </row>
    <row r="866" ht="14.25" customHeight="1">
      <c r="F866" s="69"/>
      <c r="G866" s="69"/>
      <c r="H866" s="81"/>
    </row>
    <row r="867" ht="14.25" customHeight="1">
      <c r="F867" s="69"/>
      <c r="G867" s="69"/>
      <c r="H867" s="81"/>
    </row>
    <row r="868" ht="14.25" customHeight="1">
      <c r="F868" s="69"/>
      <c r="G868" s="69"/>
      <c r="H868" s="81"/>
    </row>
    <row r="869" ht="14.25" customHeight="1">
      <c r="F869" s="69"/>
      <c r="G869" s="69"/>
      <c r="H869" s="81"/>
    </row>
    <row r="870" ht="14.25" customHeight="1">
      <c r="F870" s="69"/>
      <c r="G870" s="69"/>
      <c r="H870" s="81"/>
    </row>
    <row r="871" ht="14.25" customHeight="1">
      <c r="F871" s="69"/>
      <c r="G871" s="69"/>
      <c r="H871" s="81"/>
    </row>
    <row r="872" ht="14.25" customHeight="1">
      <c r="F872" s="69"/>
      <c r="G872" s="69"/>
      <c r="H872" s="81"/>
    </row>
    <row r="873" ht="14.25" customHeight="1">
      <c r="F873" s="69"/>
      <c r="G873" s="69"/>
      <c r="H873" s="81"/>
    </row>
    <row r="874" ht="14.25" customHeight="1">
      <c r="F874" s="69"/>
      <c r="G874" s="69"/>
      <c r="H874" s="81"/>
    </row>
    <row r="875" ht="14.25" customHeight="1">
      <c r="F875" s="69"/>
      <c r="G875" s="69"/>
      <c r="H875" s="81"/>
    </row>
    <row r="876" ht="14.25" customHeight="1">
      <c r="F876" s="69"/>
      <c r="G876" s="69"/>
      <c r="H876" s="81"/>
    </row>
    <row r="877" ht="14.25" customHeight="1">
      <c r="F877" s="69"/>
      <c r="G877" s="69"/>
      <c r="H877" s="81"/>
    </row>
    <row r="878" ht="14.25" customHeight="1">
      <c r="F878" s="69"/>
      <c r="G878" s="69"/>
      <c r="H878" s="81"/>
    </row>
    <row r="879" ht="14.25" customHeight="1">
      <c r="F879" s="69"/>
      <c r="G879" s="69"/>
      <c r="H879" s="81"/>
    </row>
    <row r="880" ht="14.25" customHeight="1">
      <c r="F880" s="69"/>
      <c r="G880" s="69"/>
      <c r="H880" s="81"/>
    </row>
    <row r="881" ht="14.25" customHeight="1">
      <c r="F881" s="69"/>
      <c r="G881" s="69"/>
      <c r="H881" s="81"/>
    </row>
    <row r="882" ht="14.25" customHeight="1">
      <c r="F882" s="69"/>
      <c r="G882" s="69"/>
      <c r="H882" s="81"/>
    </row>
    <row r="883" ht="14.25" customHeight="1">
      <c r="F883" s="69"/>
      <c r="G883" s="69"/>
      <c r="H883" s="81"/>
    </row>
    <row r="884" ht="14.25" customHeight="1">
      <c r="F884" s="69"/>
      <c r="G884" s="69"/>
      <c r="H884" s="81"/>
    </row>
    <row r="885" ht="14.25" customHeight="1">
      <c r="F885" s="69"/>
      <c r="G885" s="69"/>
      <c r="H885" s="81"/>
    </row>
    <row r="886" ht="14.25" customHeight="1">
      <c r="F886" s="69"/>
      <c r="G886" s="69"/>
      <c r="H886" s="81"/>
    </row>
    <row r="887" ht="14.25" customHeight="1">
      <c r="F887" s="69"/>
      <c r="G887" s="69"/>
      <c r="H887" s="81"/>
    </row>
    <row r="888" ht="14.25" customHeight="1">
      <c r="F888" s="69"/>
      <c r="G888" s="69"/>
      <c r="H888" s="81"/>
    </row>
    <row r="889" ht="14.25" customHeight="1">
      <c r="F889" s="69"/>
      <c r="G889" s="69"/>
      <c r="H889" s="81"/>
    </row>
    <row r="890" ht="14.25" customHeight="1">
      <c r="F890" s="69"/>
      <c r="G890" s="69"/>
      <c r="H890" s="81"/>
    </row>
    <row r="891" ht="14.25" customHeight="1">
      <c r="F891" s="69"/>
      <c r="G891" s="69"/>
      <c r="H891" s="81"/>
    </row>
    <row r="892" ht="14.25" customHeight="1">
      <c r="F892" s="69"/>
      <c r="G892" s="69"/>
      <c r="H892" s="81"/>
    </row>
    <row r="893" ht="14.25" customHeight="1">
      <c r="F893" s="69"/>
      <c r="G893" s="69"/>
      <c r="H893" s="81"/>
    </row>
    <row r="894" ht="14.25" customHeight="1">
      <c r="F894" s="69"/>
      <c r="G894" s="69"/>
      <c r="H894" s="81"/>
    </row>
    <row r="895" ht="14.25" customHeight="1">
      <c r="F895" s="69"/>
      <c r="G895" s="69"/>
      <c r="H895" s="81"/>
    </row>
    <row r="896" ht="14.25" customHeight="1">
      <c r="F896" s="69"/>
      <c r="G896" s="69"/>
      <c r="H896" s="81"/>
    </row>
    <row r="897" ht="14.25" customHeight="1">
      <c r="F897" s="69"/>
      <c r="G897" s="69"/>
      <c r="H897" s="81"/>
    </row>
    <row r="898" ht="14.25" customHeight="1">
      <c r="F898" s="69"/>
      <c r="G898" s="69"/>
      <c r="H898" s="81"/>
    </row>
    <row r="899" ht="14.25" customHeight="1">
      <c r="F899" s="69"/>
      <c r="G899" s="69"/>
      <c r="H899" s="81"/>
    </row>
    <row r="900" ht="14.25" customHeight="1">
      <c r="F900" s="69"/>
      <c r="G900" s="69"/>
      <c r="H900" s="81"/>
    </row>
    <row r="901" ht="14.25" customHeight="1">
      <c r="F901" s="69"/>
      <c r="G901" s="69"/>
      <c r="H901" s="81"/>
    </row>
    <row r="902" ht="14.25" customHeight="1">
      <c r="F902" s="69"/>
      <c r="G902" s="69"/>
      <c r="H902" s="81"/>
    </row>
    <row r="903" ht="14.25" customHeight="1">
      <c r="F903" s="69"/>
      <c r="G903" s="69"/>
      <c r="H903" s="81"/>
    </row>
    <row r="904" ht="14.25" customHeight="1">
      <c r="F904" s="69"/>
      <c r="G904" s="69"/>
      <c r="H904" s="81"/>
    </row>
    <row r="905" ht="14.25" customHeight="1">
      <c r="F905" s="69"/>
      <c r="G905" s="69"/>
      <c r="H905" s="81"/>
    </row>
    <row r="906" ht="14.25" customHeight="1">
      <c r="F906" s="69"/>
      <c r="G906" s="69"/>
      <c r="H906" s="81"/>
    </row>
    <row r="907" ht="14.25" customHeight="1">
      <c r="F907" s="69"/>
      <c r="G907" s="69"/>
      <c r="H907" s="81"/>
    </row>
    <row r="908" ht="14.25" customHeight="1">
      <c r="F908" s="69"/>
      <c r="G908" s="69"/>
      <c r="H908" s="81"/>
    </row>
    <row r="909" ht="14.25" customHeight="1">
      <c r="F909" s="69"/>
      <c r="G909" s="69"/>
      <c r="H909" s="81"/>
    </row>
    <row r="910" ht="14.25" customHeight="1">
      <c r="F910" s="69"/>
      <c r="G910" s="69"/>
      <c r="H910" s="81"/>
    </row>
    <row r="911" ht="14.25" customHeight="1">
      <c r="F911" s="69"/>
      <c r="G911" s="69"/>
      <c r="H911" s="81"/>
    </row>
    <row r="912" ht="14.25" customHeight="1">
      <c r="F912" s="69"/>
      <c r="G912" s="69"/>
      <c r="H912" s="81"/>
    </row>
    <row r="913" ht="14.25" customHeight="1">
      <c r="F913" s="69"/>
      <c r="G913" s="69"/>
      <c r="H913" s="81"/>
    </row>
    <row r="914" ht="14.25" customHeight="1">
      <c r="F914" s="69"/>
      <c r="G914" s="69"/>
      <c r="H914" s="81"/>
    </row>
    <row r="915" ht="14.25" customHeight="1">
      <c r="F915" s="69"/>
      <c r="G915" s="69"/>
      <c r="H915" s="81"/>
    </row>
    <row r="916" ht="14.25" customHeight="1">
      <c r="F916" s="69"/>
      <c r="G916" s="69"/>
      <c r="H916" s="81"/>
    </row>
    <row r="917" ht="14.25" customHeight="1">
      <c r="F917" s="69"/>
      <c r="G917" s="69"/>
      <c r="H917" s="81"/>
    </row>
    <row r="918" ht="14.25" customHeight="1">
      <c r="F918" s="69"/>
      <c r="G918" s="69"/>
      <c r="H918" s="81"/>
    </row>
    <row r="919" ht="14.25" customHeight="1">
      <c r="F919" s="69"/>
      <c r="G919" s="69"/>
      <c r="H919" s="81"/>
    </row>
    <row r="920" ht="14.25" customHeight="1">
      <c r="F920" s="69"/>
      <c r="G920" s="69"/>
      <c r="H920" s="81"/>
    </row>
    <row r="921" ht="14.25" customHeight="1">
      <c r="F921" s="69"/>
      <c r="G921" s="69"/>
      <c r="H921" s="81"/>
    </row>
    <row r="922" ht="14.25" customHeight="1">
      <c r="F922" s="69"/>
      <c r="G922" s="69"/>
      <c r="H922" s="81"/>
    </row>
    <row r="923" ht="14.25" customHeight="1">
      <c r="F923" s="69"/>
      <c r="G923" s="69"/>
      <c r="H923" s="81"/>
    </row>
    <row r="924" ht="14.25" customHeight="1">
      <c r="F924" s="69"/>
      <c r="G924" s="69"/>
      <c r="H924" s="81"/>
    </row>
    <row r="925" ht="14.25" customHeight="1">
      <c r="F925" s="69"/>
      <c r="G925" s="69"/>
      <c r="H925" s="81"/>
    </row>
    <row r="926" ht="14.25" customHeight="1">
      <c r="F926" s="69"/>
      <c r="G926" s="69"/>
      <c r="H926" s="81"/>
    </row>
    <row r="927" ht="14.25" customHeight="1">
      <c r="F927" s="69"/>
      <c r="G927" s="69"/>
      <c r="H927" s="81"/>
    </row>
    <row r="928" ht="14.25" customHeight="1">
      <c r="F928" s="69"/>
      <c r="G928" s="69"/>
      <c r="H928" s="81"/>
    </row>
    <row r="929" ht="14.25" customHeight="1">
      <c r="F929" s="69"/>
      <c r="G929" s="69"/>
      <c r="H929" s="81"/>
    </row>
    <row r="930" ht="14.25" customHeight="1">
      <c r="F930" s="69"/>
      <c r="G930" s="69"/>
      <c r="H930" s="81"/>
    </row>
    <row r="931" ht="14.25" customHeight="1">
      <c r="F931" s="69"/>
      <c r="G931" s="69"/>
      <c r="H931" s="81"/>
    </row>
    <row r="932" ht="14.25" customHeight="1">
      <c r="F932" s="69"/>
      <c r="G932" s="69"/>
      <c r="H932" s="81"/>
    </row>
    <row r="933" ht="14.25" customHeight="1">
      <c r="F933" s="69"/>
      <c r="G933" s="69"/>
      <c r="H933" s="81"/>
    </row>
    <row r="934" ht="14.25" customHeight="1">
      <c r="F934" s="69"/>
      <c r="G934" s="69"/>
      <c r="H934" s="81"/>
    </row>
    <row r="935" ht="14.25" customHeight="1">
      <c r="F935" s="69"/>
      <c r="G935" s="69"/>
      <c r="H935" s="81"/>
    </row>
    <row r="936" ht="14.25" customHeight="1">
      <c r="F936" s="69"/>
      <c r="G936" s="69"/>
      <c r="H936" s="81"/>
    </row>
    <row r="937" ht="14.25" customHeight="1">
      <c r="F937" s="69"/>
      <c r="G937" s="69"/>
      <c r="H937" s="81"/>
    </row>
    <row r="938" ht="14.25" customHeight="1">
      <c r="F938" s="69"/>
      <c r="G938" s="69"/>
      <c r="H938" s="81"/>
    </row>
    <row r="939" ht="14.25" customHeight="1">
      <c r="F939" s="69"/>
      <c r="G939" s="69"/>
      <c r="H939" s="81"/>
    </row>
    <row r="940" ht="14.25" customHeight="1">
      <c r="F940" s="69"/>
      <c r="G940" s="69"/>
      <c r="H940" s="81"/>
    </row>
    <row r="941" ht="14.25" customHeight="1">
      <c r="F941" s="69"/>
      <c r="G941" s="69"/>
      <c r="H941" s="81"/>
    </row>
    <row r="942" ht="14.25" customHeight="1">
      <c r="F942" s="69"/>
      <c r="G942" s="69"/>
      <c r="H942" s="81"/>
    </row>
    <row r="943" ht="14.25" customHeight="1">
      <c r="F943" s="69"/>
      <c r="G943" s="69"/>
      <c r="H943" s="81"/>
    </row>
    <row r="944" ht="14.25" customHeight="1">
      <c r="F944" s="69"/>
      <c r="G944" s="69"/>
      <c r="H944" s="81"/>
    </row>
    <row r="945" ht="14.25" customHeight="1">
      <c r="F945" s="69"/>
      <c r="G945" s="69"/>
      <c r="H945" s="81"/>
    </row>
    <row r="946" ht="14.25" customHeight="1">
      <c r="F946" s="69"/>
      <c r="G946" s="69"/>
      <c r="H946" s="81"/>
    </row>
    <row r="947" ht="14.25" customHeight="1">
      <c r="F947" s="69"/>
      <c r="G947" s="69"/>
      <c r="H947" s="81"/>
    </row>
    <row r="948" ht="14.25" customHeight="1">
      <c r="F948" s="69"/>
      <c r="G948" s="69"/>
      <c r="H948" s="81"/>
    </row>
    <row r="949" ht="14.25" customHeight="1">
      <c r="F949" s="69"/>
      <c r="G949" s="69"/>
      <c r="H949" s="81"/>
    </row>
    <row r="950" ht="14.25" customHeight="1">
      <c r="F950" s="69"/>
      <c r="G950" s="69"/>
      <c r="H950" s="81"/>
    </row>
    <row r="951" ht="14.25" customHeight="1">
      <c r="F951" s="69"/>
      <c r="G951" s="69"/>
      <c r="H951" s="81"/>
    </row>
    <row r="952" ht="14.25" customHeight="1">
      <c r="F952" s="69"/>
      <c r="G952" s="69"/>
      <c r="H952" s="81"/>
    </row>
    <row r="953" ht="14.25" customHeight="1">
      <c r="F953" s="69"/>
      <c r="G953" s="69"/>
      <c r="H953" s="81"/>
    </row>
    <row r="954" ht="14.25" customHeight="1">
      <c r="F954" s="69"/>
      <c r="G954" s="69"/>
      <c r="H954" s="81"/>
    </row>
    <row r="955" ht="14.25" customHeight="1">
      <c r="F955" s="69"/>
      <c r="G955" s="69"/>
      <c r="H955" s="81"/>
    </row>
    <row r="956" ht="14.25" customHeight="1">
      <c r="F956" s="69"/>
      <c r="G956" s="69"/>
      <c r="H956" s="81"/>
    </row>
    <row r="957" ht="14.25" customHeight="1">
      <c r="F957" s="69"/>
      <c r="G957" s="69"/>
      <c r="H957" s="81"/>
    </row>
    <row r="958" ht="14.25" customHeight="1">
      <c r="F958" s="69"/>
      <c r="G958" s="69"/>
      <c r="H958" s="81"/>
    </row>
    <row r="959" ht="14.25" customHeight="1">
      <c r="F959" s="69"/>
      <c r="G959" s="69"/>
      <c r="H959" s="81"/>
    </row>
    <row r="960" ht="14.25" customHeight="1">
      <c r="F960" s="69"/>
      <c r="G960" s="69"/>
      <c r="H960" s="81"/>
    </row>
    <row r="961" ht="14.25" customHeight="1">
      <c r="F961" s="69"/>
      <c r="G961" s="69"/>
      <c r="H961" s="81"/>
    </row>
    <row r="962" ht="14.25" customHeight="1">
      <c r="F962" s="69"/>
      <c r="G962" s="69"/>
      <c r="H962" s="81"/>
    </row>
    <row r="963" ht="14.25" customHeight="1">
      <c r="F963" s="69"/>
      <c r="G963" s="69"/>
      <c r="H963" s="81"/>
    </row>
    <row r="964" ht="14.25" customHeight="1">
      <c r="F964" s="69"/>
      <c r="G964" s="69"/>
      <c r="H964" s="81"/>
    </row>
    <row r="965" ht="14.25" customHeight="1">
      <c r="F965" s="69"/>
      <c r="G965" s="69"/>
      <c r="H965" s="81"/>
    </row>
    <row r="966" ht="14.25" customHeight="1">
      <c r="F966" s="69"/>
      <c r="G966" s="69"/>
      <c r="H966" s="81"/>
    </row>
    <row r="967" ht="14.25" customHeight="1">
      <c r="F967" s="69"/>
      <c r="G967" s="69"/>
      <c r="H967" s="81"/>
    </row>
    <row r="968" ht="14.25" customHeight="1">
      <c r="F968" s="69"/>
      <c r="G968" s="69"/>
      <c r="H968" s="81"/>
    </row>
    <row r="969" ht="14.25" customHeight="1">
      <c r="F969" s="69"/>
      <c r="G969" s="69"/>
      <c r="H969" s="81"/>
    </row>
    <row r="970" ht="14.25" customHeight="1">
      <c r="F970" s="69"/>
      <c r="G970" s="69"/>
      <c r="H970" s="81"/>
    </row>
    <row r="971" ht="14.25" customHeight="1">
      <c r="F971" s="69"/>
      <c r="G971" s="69"/>
      <c r="H971" s="81"/>
    </row>
    <row r="972" ht="14.25" customHeight="1">
      <c r="F972" s="69"/>
      <c r="G972" s="69"/>
      <c r="H972" s="81"/>
    </row>
    <row r="973" ht="14.25" customHeight="1">
      <c r="F973" s="69"/>
      <c r="G973" s="69"/>
      <c r="H973" s="81"/>
    </row>
    <row r="974" ht="14.25" customHeight="1">
      <c r="F974" s="69"/>
      <c r="G974" s="69"/>
      <c r="H974" s="81"/>
    </row>
    <row r="975" ht="14.25" customHeight="1">
      <c r="F975" s="69"/>
      <c r="G975" s="69"/>
      <c r="H975" s="81"/>
    </row>
    <row r="976" ht="14.25" customHeight="1">
      <c r="F976" s="69"/>
      <c r="G976" s="69"/>
      <c r="H976" s="81"/>
    </row>
    <row r="977" ht="14.25" customHeight="1">
      <c r="F977" s="69"/>
      <c r="G977" s="69"/>
      <c r="H977" s="81"/>
    </row>
    <row r="978" ht="14.25" customHeight="1">
      <c r="F978" s="69"/>
      <c r="G978" s="69"/>
      <c r="H978" s="81"/>
    </row>
    <row r="979" ht="14.25" customHeight="1">
      <c r="F979" s="69"/>
      <c r="G979" s="69"/>
      <c r="H979" s="81"/>
    </row>
    <row r="980" ht="14.25" customHeight="1">
      <c r="F980" s="69"/>
      <c r="G980" s="69"/>
      <c r="H980" s="81"/>
    </row>
    <row r="981" ht="14.25" customHeight="1">
      <c r="F981" s="69"/>
      <c r="G981" s="69"/>
      <c r="H981" s="81"/>
    </row>
    <row r="982" ht="14.25" customHeight="1">
      <c r="F982" s="69"/>
      <c r="G982" s="69"/>
      <c r="H982" s="81"/>
    </row>
    <row r="983" ht="14.25" customHeight="1">
      <c r="F983" s="69"/>
      <c r="G983" s="69"/>
      <c r="H983" s="81"/>
    </row>
    <row r="984" ht="14.25" customHeight="1">
      <c r="F984" s="69"/>
      <c r="G984" s="69"/>
      <c r="H984" s="81"/>
    </row>
    <row r="985" ht="14.25" customHeight="1">
      <c r="F985" s="69"/>
      <c r="G985" s="69"/>
      <c r="H985" s="81"/>
    </row>
    <row r="986" ht="14.25" customHeight="1">
      <c r="F986" s="69"/>
      <c r="G986" s="69"/>
      <c r="H986" s="81"/>
    </row>
    <row r="987" ht="14.25" customHeight="1">
      <c r="F987" s="69"/>
      <c r="G987" s="69"/>
      <c r="H987" s="81"/>
    </row>
    <row r="988" ht="14.25" customHeight="1">
      <c r="F988" s="69"/>
      <c r="G988" s="69"/>
      <c r="H988" s="81"/>
    </row>
    <row r="989" ht="14.25" customHeight="1">
      <c r="F989" s="69"/>
      <c r="G989" s="69"/>
      <c r="H989" s="81"/>
    </row>
    <row r="990" ht="14.25" customHeight="1">
      <c r="F990" s="69"/>
      <c r="G990" s="69"/>
      <c r="H990" s="81"/>
    </row>
    <row r="991" ht="14.25" customHeight="1">
      <c r="F991" s="69"/>
      <c r="G991" s="69"/>
      <c r="H991" s="81"/>
    </row>
    <row r="992" ht="14.25" customHeight="1">
      <c r="F992" s="69"/>
      <c r="G992" s="69"/>
      <c r="H992" s="81"/>
    </row>
    <row r="993" ht="14.25" customHeight="1">
      <c r="F993" s="69"/>
      <c r="G993" s="69"/>
      <c r="H993" s="81"/>
    </row>
    <row r="994" ht="14.25" customHeight="1">
      <c r="F994" s="69"/>
      <c r="G994" s="69"/>
      <c r="H994" s="81"/>
    </row>
    <row r="995" ht="14.25" customHeight="1">
      <c r="F995" s="69"/>
      <c r="G995" s="69"/>
      <c r="H995" s="81"/>
    </row>
    <row r="996" ht="14.25" customHeight="1">
      <c r="F996" s="69"/>
      <c r="G996" s="69"/>
      <c r="H996" s="81"/>
    </row>
    <row r="997" ht="14.25" customHeight="1">
      <c r="F997" s="69"/>
      <c r="G997" s="69"/>
      <c r="H997" s="81"/>
    </row>
    <row r="998" ht="14.25" customHeight="1">
      <c r="F998" s="69"/>
      <c r="G998" s="69"/>
      <c r="H998" s="81"/>
    </row>
    <row r="999" ht="14.25" customHeight="1">
      <c r="F999" s="69"/>
      <c r="G999" s="69"/>
      <c r="H999" s="81"/>
    </row>
    <row r="1000" ht="14.25" customHeight="1">
      <c r="F1000" s="69"/>
      <c r="G1000" s="69"/>
      <c r="H1000" s="81"/>
    </row>
  </sheetData>
  <mergeCells count="8">
    <mergeCell ref="A1:E1"/>
    <mergeCell ref="A2:E2"/>
    <mergeCell ref="A3:B3"/>
    <mergeCell ref="C3:E3"/>
    <mergeCell ref="A4:B4"/>
    <mergeCell ref="C4:E4"/>
    <mergeCell ref="A5:B5"/>
    <mergeCell ref="C5:E5"/>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86"/>
    <col customWidth="1" min="2" max="2" width="26.71"/>
    <col customWidth="1" min="3" max="3" width="16.43"/>
    <col customWidth="1" min="4" max="5" width="9.14"/>
    <col customWidth="1" min="6" max="26" width="8.71"/>
  </cols>
  <sheetData>
    <row r="1" ht="14.25" customHeight="1">
      <c r="A1" s="67" t="s">
        <v>182</v>
      </c>
      <c r="B1" s="68" t="str">
        <f>'Asset Info'!B1</f>
        <v>Tipar-ID</v>
      </c>
      <c r="D1" s="69"/>
      <c r="E1" s="69"/>
    </row>
    <row r="2" ht="14.25" customHeight="1">
      <c r="A2" s="67" t="s">
        <v>190</v>
      </c>
      <c r="B2" s="70" t="str">
        <f>IF('Asset Info'!B11="No",IF(COUNTIF(C11:C137,"Not Approved")&gt;0,"Not Cleared","Cleared"),"Not Cleared")</f>
        <v>Not Cleared</v>
      </c>
      <c r="D2" s="69"/>
      <c r="E2" s="69"/>
    </row>
    <row r="3" ht="14.25" customHeight="1">
      <c r="A3" s="67" t="s">
        <v>202</v>
      </c>
      <c r="B3" s="68"/>
      <c r="D3" s="69"/>
      <c r="E3" s="69"/>
    </row>
    <row r="4" ht="14.25" customHeight="1">
      <c r="A4" s="67" t="s">
        <v>206</v>
      </c>
      <c r="B4" s="71"/>
      <c r="D4" s="69"/>
      <c r="E4" s="69"/>
    </row>
    <row r="5" ht="14.25" customHeight="1">
      <c r="A5" s="69"/>
      <c r="B5" s="69"/>
      <c r="D5" s="69"/>
      <c r="E5" s="69"/>
    </row>
    <row r="6" ht="14.25" customHeight="1">
      <c r="A6" s="72" t="s">
        <v>211</v>
      </c>
      <c r="B6" s="68">
        <f>SUM(B7:B8)</f>
        <v>127</v>
      </c>
      <c r="D6" s="69"/>
      <c r="E6" s="69"/>
    </row>
    <row r="7" ht="14.25" customHeight="1">
      <c r="A7" s="72" t="s">
        <v>217</v>
      </c>
      <c r="B7" s="68">
        <f>COUNTIF(C11:C137,"Approved")</f>
        <v>14</v>
      </c>
      <c r="D7" s="69"/>
      <c r="E7" s="69"/>
    </row>
    <row r="8" ht="14.25" customHeight="1">
      <c r="A8" s="72" t="s">
        <v>221</v>
      </c>
      <c r="B8" s="68">
        <f>COUNTIF(C11:C137,"Not Approved")</f>
        <v>113</v>
      </c>
      <c r="D8" s="69"/>
      <c r="E8" s="69"/>
    </row>
    <row r="9" ht="14.25" customHeight="1">
      <c r="D9" s="69"/>
      <c r="E9" s="69"/>
    </row>
    <row r="10" ht="14.25" customHeight="1">
      <c r="A10" s="16" t="s">
        <v>228</v>
      </c>
      <c r="B10" s="16" t="s">
        <v>230</v>
      </c>
      <c r="C10" s="16" t="s">
        <v>231</v>
      </c>
      <c r="D10" s="69"/>
      <c r="E10" s="69"/>
    </row>
    <row r="11" ht="27.0" customHeight="1">
      <c r="A11" s="73" t="s">
        <v>0</v>
      </c>
      <c r="B11" s="74" t="s">
        <v>238</v>
      </c>
      <c r="C11" s="75" t="str">
        <f>IF(COUNTIF(Checklist!J3:Checklist!J5,"Y")&gt;0,"Approved","Not Approved")</f>
        <v>Not Approved</v>
      </c>
      <c r="D11" s="69"/>
      <c r="E11" s="69"/>
    </row>
    <row r="12" ht="14.25" customHeight="1">
      <c r="A12" s="76"/>
      <c r="B12" s="74" t="s">
        <v>243</v>
      </c>
      <c r="C12" s="75" t="str">
        <f>IF(Checklist!J9="Y","Approved","Not Approved")</f>
        <v>Not Approved</v>
      </c>
      <c r="D12" s="69"/>
      <c r="E12" s="69"/>
    </row>
    <row r="13" ht="14.25" customHeight="1">
      <c r="A13" s="76"/>
      <c r="B13" s="74" t="s">
        <v>163</v>
      </c>
      <c r="C13" s="75" t="str">
        <f>IF(Checklist!J11="Y","Approved","Not Approved")</f>
        <v>Not Approved</v>
      </c>
      <c r="D13" s="69"/>
      <c r="E13" s="69"/>
    </row>
    <row r="14" ht="14.25" customHeight="1">
      <c r="A14" s="76"/>
      <c r="B14" s="74" t="s">
        <v>196</v>
      </c>
      <c r="C14" s="75" t="str">
        <f>IF(Checklist!J13="Y","Approved","Not Approved")</f>
        <v>Not Approved</v>
      </c>
      <c r="D14" s="69"/>
      <c r="E14" s="69"/>
    </row>
    <row r="15" ht="14.25" customHeight="1">
      <c r="A15" s="76"/>
      <c r="B15" s="74" t="s">
        <v>234</v>
      </c>
      <c r="C15" s="75" t="str">
        <f>IF(Checklist!J15="Y","Approved","Not Approved")</f>
        <v>Not Approved</v>
      </c>
      <c r="D15" s="69"/>
      <c r="E15" s="69"/>
    </row>
    <row r="16" ht="14.25" customHeight="1">
      <c r="A16" s="76"/>
      <c r="B16" s="74" t="s">
        <v>256</v>
      </c>
      <c r="C16" s="75" t="str">
        <f>IF(Checklist!J18="Y","Approved","Not Approved")</f>
        <v>Not Approved</v>
      </c>
      <c r="D16" s="69"/>
      <c r="E16" s="69"/>
    </row>
    <row r="17" ht="14.25" customHeight="1">
      <c r="A17" s="76"/>
      <c r="B17" s="74" t="s">
        <v>262</v>
      </c>
      <c r="C17" s="75" t="str">
        <f>IF(Checklist!J20="Y","Approved","Not Approved")</f>
        <v>Not Approved</v>
      </c>
      <c r="D17" s="69"/>
      <c r="E17" s="69"/>
    </row>
    <row r="18" ht="14.25" customHeight="1">
      <c r="A18" s="76"/>
      <c r="B18" s="74" t="s">
        <v>266</v>
      </c>
      <c r="C18" s="75" t="str">
        <f>IF(COUNTIF(Checklist!J22:Checklist!J27,"Y")&gt;0,"Approved","Not Approved")</f>
        <v>Not Approved</v>
      </c>
      <c r="D18" s="69"/>
      <c r="E18" s="69"/>
    </row>
    <row r="19" ht="14.25" customHeight="1">
      <c r="A19" s="76"/>
      <c r="B19" s="74" t="s">
        <v>270</v>
      </c>
      <c r="C19" s="75" t="str">
        <f>IF(Checklist!J28="Y","Approved","Not Approved")</f>
        <v>Not Approved</v>
      </c>
      <c r="D19" s="69"/>
      <c r="E19" s="69"/>
    </row>
    <row r="20" ht="14.25" customHeight="1">
      <c r="A20" s="76"/>
      <c r="B20" s="74" t="s">
        <v>275</v>
      </c>
      <c r="C20" s="75" t="str">
        <f>IF(Checklist!J30="Y","Approved","Not Approved")</f>
        <v>Not Approved</v>
      </c>
      <c r="D20" s="69"/>
      <c r="E20" s="69"/>
    </row>
    <row r="21" ht="14.25" customHeight="1">
      <c r="A21" s="76"/>
      <c r="B21" s="74" t="s">
        <v>280</v>
      </c>
      <c r="C21" s="75" t="str">
        <f>IF(Checklist!J34="Y","Approved","Not Approved")</f>
        <v>Not Approved</v>
      </c>
      <c r="D21" s="69"/>
      <c r="E21" s="69"/>
    </row>
    <row r="22" ht="14.25" customHeight="1">
      <c r="A22" s="78"/>
      <c r="B22" s="74" t="s">
        <v>283</v>
      </c>
      <c r="C22" s="75" t="str">
        <f>IF(Checklist!J37="Y","Approved","Not Approved")</f>
        <v>Not Approved</v>
      </c>
      <c r="D22" s="69"/>
      <c r="E22" s="69"/>
    </row>
    <row r="23" ht="14.25" customHeight="1">
      <c r="A23" s="73" t="s">
        <v>288</v>
      </c>
      <c r="B23" s="74" t="s">
        <v>292</v>
      </c>
      <c r="C23" s="75" t="str">
        <f>IF(Checklist!J40="Y","Approved","Not Approved")</f>
        <v>Not Approved</v>
      </c>
      <c r="D23" s="69"/>
      <c r="E23" s="69"/>
    </row>
    <row r="24" ht="14.25" customHeight="1">
      <c r="A24" s="76"/>
      <c r="B24" s="74" t="s">
        <v>296</v>
      </c>
      <c r="C24" s="75" t="str">
        <f>IF(Checklist!J41="Y","Approved","Not Approved")</f>
        <v>Not Approved</v>
      </c>
      <c r="D24" s="69"/>
      <c r="E24" s="69"/>
    </row>
    <row r="25" ht="14.25" customHeight="1">
      <c r="A25" s="76"/>
      <c r="B25" s="74" t="s">
        <v>301</v>
      </c>
      <c r="C25" s="75" t="str">
        <f>IF(Checklist!J42="Y","Approved","Not Approved")</f>
        <v>Not Approved</v>
      </c>
      <c r="D25" s="69"/>
      <c r="E25" s="69"/>
    </row>
    <row r="26" ht="14.25" customHeight="1">
      <c r="A26" s="76"/>
      <c r="B26" s="74" t="s">
        <v>306</v>
      </c>
      <c r="C26" s="75" t="str">
        <f>IF(Checklist!J43="Y","Approved","Not Approved")</f>
        <v>Not Approved</v>
      </c>
      <c r="D26" s="69"/>
      <c r="E26" s="69"/>
    </row>
    <row r="27" ht="14.25" customHeight="1">
      <c r="A27" s="76"/>
      <c r="B27" s="74" t="s">
        <v>311</v>
      </c>
      <c r="C27" s="75" t="str">
        <f>IF(Checklist!J44="Y","Approved","Not Approved")</f>
        <v>Not Approved</v>
      </c>
      <c r="D27" s="69"/>
      <c r="E27" s="69"/>
    </row>
    <row r="28" ht="14.25" customHeight="1">
      <c r="A28" s="76"/>
      <c r="B28" s="74" t="s">
        <v>315</v>
      </c>
      <c r="C28" s="75" t="str">
        <f>IF(Checklist!J46="Y","Approved","Not Approved")</f>
        <v>Not Approved</v>
      </c>
      <c r="D28" s="69"/>
      <c r="E28" s="69"/>
    </row>
    <row r="29" ht="14.25" customHeight="1">
      <c r="A29" s="76"/>
      <c r="B29" s="74" t="s">
        <v>321</v>
      </c>
      <c r="C29" s="75" t="str">
        <f>IF(Checklist!J47="Y","Approved","Not Approved")</f>
        <v>Not Approved</v>
      </c>
      <c r="D29" s="69"/>
      <c r="E29" s="69"/>
    </row>
    <row r="30" ht="14.25" customHeight="1">
      <c r="A30" s="76"/>
      <c r="B30" s="74" t="s">
        <v>327</v>
      </c>
      <c r="C30" s="75" t="str">
        <f>IF(Checklist!J49="Y","Approved","Not Approved")</f>
        <v>Not Approved</v>
      </c>
      <c r="D30" s="69"/>
      <c r="E30" s="69"/>
    </row>
    <row r="31" ht="14.25" customHeight="1">
      <c r="A31" s="76"/>
      <c r="B31" s="74" t="s">
        <v>333</v>
      </c>
      <c r="C31" s="75" t="str">
        <f>IF(COUNTIF(Checklist!J50:Checklist!J52,"Y")&gt;0,"Approved","Not Approved")</f>
        <v>Not Approved</v>
      </c>
      <c r="D31" s="69"/>
      <c r="E31" s="69"/>
    </row>
    <row r="32" ht="14.25" customHeight="1">
      <c r="A32" s="76"/>
      <c r="B32" s="74" t="s">
        <v>341</v>
      </c>
      <c r="C32" s="75" t="str">
        <f>IF(Checklist!J54="Y","Approved","Not Approved")</f>
        <v>Not Approved</v>
      </c>
      <c r="D32" s="69"/>
      <c r="E32" s="69"/>
    </row>
    <row r="33" ht="14.25" customHeight="1">
      <c r="A33" s="76"/>
      <c r="B33" s="74" t="s">
        <v>346</v>
      </c>
      <c r="C33" s="75" t="str">
        <f>IF(Checklist!J56="Y","Approved","Not Approved")</f>
        <v>Not Approved</v>
      </c>
      <c r="D33" s="69"/>
      <c r="E33" s="69"/>
    </row>
    <row r="34" ht="14.25" customHeight="1">
      <c r="A34" s="79"/>
      <c r="B34" s="74" t="s">
        <v>353</v>
      </c>
      <c r="C34" s="75" t="str">
        <f>IF(Checklist!J57="Y","Approved","Not Approved")</f>
        <v>Not Approved</v>
      </c>
      <c r="D34" s="69"/>
      <c r="E34" s="69"/>
    </row>
    <row r="35" ht="14.25" customHeight="1">
      <c r="A35" s="73" t="s">
        <v>358</v>
      </c>
      <c r="B35" s="80" t="s">
        <v>362</v>
      </c>
      <c r="C35" s="75" t="str">
        <f>IF(Checklist!J59="Y","Approved","Not Approved")</f>
        <v>Not Approved</v>
      </c>
      <c r="D35" s="69"/>
      <c r="E35" s="69"/>
    </row>
    <row r="36" ht="14.25" customHeight="1">
      <c r="A36" s="76"/>
      <c r="B36" s="80" t="s">
        <v>363</v>
      </c>
      <c r="C36" s="75" t="str">
        <f>IF(Checklist!J60="Y","Approved","Not Approved")</f>
        <v>Not Approved</v>
      </c>
      <c r="D36" s="69"/>
      <c r="E36" s="69"/>
    </row>
    <row r="37" ht="14.25" customHeight="1">
      <c r="A37" s="76"/>
      <c r="B37" s="80" t="s">
        <v>364</v>
      </c>
      <c r="C37" s="75" t="str">
        <f>IF(Checklist!J61="Y","Approved","Not Approved")</f>
        <v>Not Approved</v>
      </c>
      <c r="D37" s="69"/>
      <c r="E37" s="69"/>
    </row>
    <row r="38" ht="14.25" customHeight="1">
      <c r="A38" s="76"/>
      <c r="B38" s="80" t="s">
        <v>366</v>
      </c>
      <c r="C38" s="75" t="str">
        <f>IF(Checklist!J63="Y","Approved","Not Approved")</f>
        <v>Not Approved</v>
      </c>
      <c r="D38" s="69"/>
      <c r="E38" s="69"/>
    </row>
    <row r="39" ht="14.25" customHeight="1">
      <c r="A39" s="76"/>
      <c r="B39" s="80" t="s">
        <v>367</v>
      </c>
      <c r="C39" s="75" t="str">
        <f>IF(Checklist!J65="Y","Approved","Not Approved")</f>
        <v>Not Approved</v>
      </c>
      <c r="D39" s="69"/>
      <c r="E39" s="69"/>
    </row>
    <row r="40" ht="14.25" customHeight="1">
      <c r="A40" s="76"/>
      <c r="B40" s="80" t="s">
        <v>368</v>
      </c>
      <c r="C40" s="75" t="str">
        <f>IF(Checklist!J66="Y","Approved","Not Approved")</f>
        <v>Not Approved</v>
      </c>
      <c r="D40" s="69"/>
      <c r="E40" s="69"/>
    </row>
    <row r="41" ht="14.25" customHeight="1">
      <c r="A41" s="76"/>
      <c r="B41" s="80" t="s">
        <v>369</v>
      </c>
      <c r="C41" s="75" t="str">
        <f>IF(Checklist!J67="Y","Approved","Not Approved")</f>
        <v>Not Approved</v>
      </c>
      <c r="D41" s="69"/>
      <c r="E41" s="69"/>
    </row>
    <row r="42" ht="14.25" customHeight="1">
      <c r="A42" s="76"/>
      <c r="B42" s="80" t="s">
        <v>371</v>
      </c>
      <c r="C42" s="75" t="str">
        <f>IF(Checklist!J68="Y","Approved","Not Approved")</f>
        <v>Approved</v>
      </c>
      <c r="D42" s="69"/>
      <c r="E42" s="69"/>
    </row>
    <row r="43" ht="14.25" customHeight="1">
      <c r="A43" s="76"/>
      <c r="B43" s="80" t="s">
        <v>372</v>
      </c>
      <c r="C43" s="75" t="str">
        <f>IF(Checklist!J69="Y","Approved","Not Approved")</f>
        <v>Not Approved</v>
      </c>
      <c r="D43" s="69"/>
      <c r="E43" s="69"/>
    </row>
    <row r="44" ht="14.25" customHeight="1">
      <c r="A44" s="76"/>
      <c r="B44" s="80" t="s">
        <v>373</v>
      </c>
      <c r="C44" s="75" t="str">
        <f>IF(Checklist!J71="Y","Approved","Not Approved")</f>
        <v>Not Approved</v>
      </c>
      <c r="D44" s="69"/>
      <c r="E44" s="69"/>
    </row>
    <row r="45" ht="14.25" customHeight="1">
      <c r="A45" s="76"/>
      <c r="B45" s="80" t="s">
        <v>375</v>
      </c>
      <c r="C45" s="75" t="str">
        <f>IF(Checklist!J72="Y","Approved","Not Approved")</f>
        <v>Not Approved</v>
      </c>
      <c r="D45" s="69"/>
      <c r="E45" s="69"/>
    </row>
    <row r="46" ht="14.25" customHeight="1">
      <c r="A46" s="78"/>
      <c r="B46" s="80" t="s">
        <v>376</v>
      </c>
      <c r="C46" s="75" t="str">
        <f>IF(Checklist!J73="Y","Approved","Not Approved")</f>
        <v>Approved</v>
      </c>
      <c r="D46" s="69"/>
      <c r="E46" s="69"/>
    </row>
    <row r="47" ht="14.25" customHeight="1">
      <c r="A47" s="82" t="s">
        <v>377</v>
      </c>
      <c r="B47" s="74" t="s">
        <v>378</v>
      </c>
      <c r="C47" s="75" t="str">
        <f>IF(Checklist!J75="Y","Approved","Not Approved")</f>
        <v>Not Approved</v>
      </c>
      <c r="D47" s="69"/>
      <c r="E47" s="69"/>
    </row>
    <row r="48" ht="14.25" customHeight="1">
      <c r="A48" s="76"/>
      <c r="B48" s="74" t="s">
        <v>379</v>
      </c>
      <c r="C48" s="75" t="str">
        <f>IF(Checklist!J76="Y","Approved","Not Approved")</f>
        <v>Not Approved</v>
      </c>
      <c r="D48" s="69"/>
      <c r="E48" s="69"/>
    </row>
    <row r="49" ht="14.25" customHeight="1">
      <c r="A49" s="76"/>
      <c r="B49" s="74" t="s">
        <v>380</v>
      </c>
      <c r="C49" s="75" t="str">
        <f>IF(Checklist!J77="Y","Approved","Not Approved")</f>
        <v>Not Approved</v>
      </c>
      <c r="D49" s="69"/>
      <c r="E49" s="69"/>
    </row>
    <row r="50" ht="14.25" customHeight="1">
      <c r="A50" s="76"/>
      <c r="B50" s="74" t="s">
        <v>382</v>
      </c>
      <c r="C50" s="75" t="str">
        <f>IF(Checklist!J78="Y","Approved","Not Approved")</f>
        <v>Not Approved</v>
      </c>
      <c r="D50" s="69"/>
      <c r="E50" s="69"/>
    </row>
    <row r="51" ht="14.25" customHeight="1">
      <c r="A51" s="76"/>
      <c r="B51" s="74" t="s">
        <v>383</v>
      </c>
      <c r="C51" s="75" t="str">
        <f>IF(Checklist!J79="Y","Approved","Not Approved")</f>
        <v>Not Approved</v>
      </c>
      <c r="D51" s="69"/>
      <c r="E51" s="69"/>
    </row>
    <row r="52" ht="14.25" customHeight="1">
      <c r="A52" s="76"/>
      <c r="B52" s="74" t="s">
        <v>384</v>
      </c>
      <c r="C52" s="75" t="str">
        <f>IF(Checklist!J81="Y","Approved","Not Approved")</f>
        <v>Not Approved</v>
      </c>
      <c r="D52" s="69"/>
      <c r="E52" s="69"/>
    </row>
    <row r="53" ht="14.25" customHeight="1">
      <c r="A53" s="76"/>
      <c r="B53" s="74" t="s">
        <v>385</v>
      </c>
      <c r="C53" s="75" t="str">
        <f>IF(Checklist!J82="Y","Approved","Not Approved")</f>
        <v>Not Approved</v>
      </c>
      <c r="D53" s="69"/>
      <c r="E53" s="69"/>
    </row>
    <row r="54" ht="14.25" customHeight="1">
      <c r="A54" s="78"/>
      <c r="B54" s="74" t="s">
        <v>386</v>
      </c>
      <c r="C54" s="75" t="str">
        <f>IF(Checklist!J84="Y","Approved","Not Approved")</f>
        <v>Not Approved</v>
      </c>
      <c r="D54" s="69"/>
      <c r="E54" s="69"/>
    </row>
    <row r="55" ht="14.25" customHeight="1">
      <c r="A55" s="73" t="s">
        <v>388</v>
      </c>
      <c r="B55" s="74" t="s">
        <v>389</v>
      </c>
      <c r="C55" s="75" t="str">
        <f>IF(Checklist!J86="Y","Approved","Not Approved")</f>
        <v>Not Approved</v>
      </c>
      <c r="D55" s="69"/>
      <c r="E55" s="69"/>
    </row>
    <row r="56" ht="14.25" customHeight="1">
      <c r="A56" s="76"/>
      <c r="B56" s="74" t="s">
        <v>390</v>
      </c>
      <c r="C56" s="75" t="str">
        <f>IF(Checklist!J89="Y","Approved","Not Approved")</f>
        <v>Not Approved</v>
      </c>
      <c r="D56" s="69"/>
      <c r="E56" s="69"/>
    </row>
    <row r="57" ht="14.25" customHeight="1">
      <c r="A57" s="76"/>
      <c r="B57" s="74" t="s">
        <v>392</v>
      </c>
      <c r="C57" s="75" t="str">
        <f>IF(Checklist!J90="Y","Approved","Not Approved")</f>
        <v>Not Approved</v>
      </c>
      <c r="D57" s="69"/>
      <c r="E57" s="69"/>
    </row>
    <row r="58" ht="14.25" customHeight="1">
      <c r="A58" s="76"/>
      <c r="B58" s="74" t="s">
        <v>393</v>
      </c>
      <c r="C58" s="75" t="str">
        <f>IF(Checklist!J91="Y","Approved","Not Approved")</f>
        <v>Not Approved</v>
      </c>
      <c r="D58" s="69"/>
      <c r="E58" s="69"/>
    </row>
    <row r="59" ht="14.25" customHeight="1">
      <c r="A59" s="76"/>
      <c r="B59" s="74" t="s">
        <v>394</v>
      </c>
      <c r="C59" s="75" t="str">
        <f>IF(Checklist!J96="Y","Approved","Not Approved")</f>
        <v>Not Approved</v>
      </c>
      <c r="D59" s="69"/>
      <c r="E59" s="69"/>
    </row>
    <row r="60" ht="14.25" customHeight="1">
      <c r="A60" s="76"/>
      <c r="B60" s="74" t="s">
        <v>395</v>
      </c>
      <c r="C60" s="75" t="str">
        <f>IF(Checklist!J97="Y","Approved","Not Approved")</f>
        <v>Approved</v>
      </c>
      <c r="D60" s="69"/>
      <c r="E60" s="69"/>
    </row>
    <row r="61" ht="14.25" customHeight="1">
      <c r="A61" s="76"/>
      <c r="B61" s="74" t="s">
        <v>396</v>
      </c>
      <c r="C61" s="75" t="str">
        <f>IF(Checklist!J98="Y","Approved","Not Approved")</f>
        <v>Approved</v>
      </c>
      <c r="D61" s="69"/>
      <c r="E61" s="69"/>
    </row>
    <row r="62" ht="14.25" customHeight="1">
      <c r="A62" s="76"/>
      <c r="B62" s="74" t="s">
        <v>397</v>
      </c>
      <c r="C62" s="75" t="str">
        <f>IF(Checklist!J99="Y","Approved","Not Approved")</f>
        <v>Approved</v>
      </c>
      <c r="D62" s="69"/>
      <c r="E62" s="69"/>
    </row>
    <row r="63" ht="14.25" customHeight="1">
      <c r="A63" s="76"/>
      <c r="B63" s="74" t="s">
        <v>398</v>
      </c>
      <c r="C63" s="75" t="str">
        <f>IF(Checklist!J100="Y","Approved","Not Approved")</f>
        <v>Approved</v>
      </c>
      <c r="D63" s="69"/>
      <c r="E63" s="69"/>
    </row>
    <row r="64" ht="14.25" customHeight="1">
      <c r="A64" s="78"/>
      <c r="B64" s="74" t="s">
        <v>399</v>
      </c>
      <c r="C64" s="75" t="str">
        <f>IF(Checklist!J101="Y","Approved","Not Approved")</f>
        <v>Not Approved</v>
      </c>
      <c r="D64" s="69"/>
      <c r="E64" s="69"/>
    </row>
    <row r="65" ht="14.25" customHeight="1">
      <c r="A65" s="82" t="s">
        <v>400</v>
      </c>
      <c r="B65" s="74" t="s">
        <v>401</v>
      </c>
      <c r="C65" s="75" t="str">
        <f>IF(Checklist!J103="Y","Approved","Not Approved")</f>
        <v>Not Approved</v>
      </c>
      <c r="D65" s="69"/>
      <c r="E65" s="69"/>
    </row>
    <row r="66" ht="14.25" customHeight="1">
      <c r="A66" s="76"/>
      <c r="B66" s="74" t="s">
        <v>402</v>
      </c>
      <c r="C66" s="75" t="str">
        <f>IF(Checklist!J104="Y","Approved","Not Approved")</f>
        <v>Not Approved</v>
      </c>
      <c r="D66" s="69"/>
      <c r="E66" s="69"/>
    </row>
    <row r="67" ht="14.25" customHeight="1">
      <c r="A67" s="76"/>
      <c r="B67" s="74" t="s">
        <v>404</v>
      </c>
      <c r="C67" s="75" t="str">
        <f>IF(Checklist!J105="Y","Approved","Not Approved")</f>
        <v>Not Approved</v>
      </c>
      <c r="D67" s="69"/>
      <c r="E67" s="69"/>
    </row>
    <row r="68" ht="14.25" customHeight="1">
      <c r="A68" s="76"/>
      <c r="B68" s="84" t="s">
        <v>405</v>
      </c>
      <c r="C68" s="75" t="str">
        <f>IF(Checklist!J106="Y","Approved","Not Approved")</f>
        <v>Not Approved</v>
      </c>
      <c r="D68" s="69"/>
      <c r="E68" s="69"/>
    </row>
    <row r="69" ht="14.25" customHeight="1">
      <c r="A69" s="76"/>
      <c r="B69" s="74" t="s">
        <v>407</v>
      </c>
      <c r="C69" s="75" t="str">
        <f>IF(Checklist!J107="Y","Approved","Not Approved")</f>
        <v>Not Approved</v>
      </c>
      <c r="D69" s="69"/>
      <c r="E69" s="69"/>
    </row>
    <row r="70" ht="14.25" customHeight="1">
      <c r="A70" s="76"/>
      <c r="B70" s="74" t="s">
        <v>408</v>
      </c>
      <c r="C70" s="75" t="str">
        <f>IF(Checklist!J108="Y","Approved","Not Approved")</f>
        <v>Not Approved</v>
      </c>
      <c r="D70" s="69"/>
      <c r="E70" s="69"/>
    </row>
    <row r="71" ht="14.25" customHeight="1">
      <c r="A71" s="76"/>
      <c r="B71" s="74" t="s">
        <v>411</v>
      </c>
      <c r="C71" s="75" t="str">
        <f>IF(Checklist!J109="Y","Approved","Not Approved")</f>
        <v>Not Approved</v>
      </c>
      <c r="D71" s="69"/>
      <c r="E71" s="69"/>
    </row>
    <row r="72" ht="14.25" customHeight="1">
      <c r="A72" s="76"/>
      <c r="B72" s="74" t="s">
        <v>412</v>
      </c>
      <c r="C72" s="75" t="str">
        <f>IF(Checklist!J110="Y","Approved","Not Approved")</f>
        <v>Not Approved</v>
      </c>
      <c r="D72" s="69"/>
      <c r="E72" s="69"/>
    </row>
    <row r="73" ht="14.25" customHeight="1">
      <c r="A73" s="76"/>
      <c r="B73" s="74" t="s">
        <v>413</v>
      </c>
      <c r="C73" s="75" t="str">
        <f>IF(Checklist!J111="Y","Approved","Not Approved")</f>
        <v>Not Approved</v>
      </c>
      <c r="D73" s="69"/>
      <c r="E73" s="69"/>
    </row>
    <row r="74" ht="14.25" customHeight="1">
      <c r="A74" s="78"/>
      <c r="B74" s="74" t="s">
        <v>414</v>
      </c>
      <c r="C74" s="75" t="str">
        <f>IF(Checklist!J112="Y","Approved","Not Approved")</f>
        <v>Approved</v>
      </c>
      <c r="D74" s="69"/>
      <c r="E74" s="69"/>
    </row>
    <row r="75" ht="48.0" customHeight="1">
      <c r="A75" s="73" t="s">
        <v>417</v>
      </c>
      <c r="B75" s="74" t="s">
        <v>418</v>
      </c>
      <c r="C75" s="75" t="str">
        <f>IF(COUNTIF(Checklist!J114:Checklist!J116,"Y")&gt;0,"Approved","Not Approved")</f>
        <v>Not Approved</v>
      </c>
      <c r="D75" s="69"/>
      <c r="E75" s="69"/>
    </row>
    <row r="76" ht="48.0" customHeight="1">
      <c r="A76" s="76"/>
      <c r="B76" s="74" t="s">
        <v>419</v>
      </c>
      <c r="C76" s="75" t="str">
        <f>IF(Checklist!J117="Y","Approved","Not Approved")</f>
        <v>Approved</v>
      </c>
      <c r="D76" s="69"/>
      <c r="E76" s="69"/>
    </row>
    <row r="77" ht="14.25" customHeight="1">
      <c r="A77" s="76"/>
      <c r="B77" s="74" t="s">
        <v>420</v>
      </c>
      <c r="C77" s="75" t="str">
        <f>IF(Checklist!J118="Y","Approved","Not Approved")</f>
        <v>Not Approved</v>
      </c>
      <c r="D77" s="69"/>
      <c r="E77" s="69"/>
    </row>
    <row r="78" ht="14.25" customHeight="1">
      <c r="A78" s="76"/>
      <c r="B78" s="74" t="s">
        <v>421</v>
      </c>
      <c r="C78" s="75" t="str">
        <f>IF(Checklist!J119="Y","Approved","Not Approved")</f>
        <v>Not Approved</v>
      </c>
      <c r="D78" s="69"/>
      <c r="E78" s="69"/>
    </row>
    <row r="79" ht="14.25" customHeight="1">
      <c r="A79" s="76"/>
      <c r="B79" s="74" t="s">
        <v>422</v>
      </c>
      <c r="C79" s="75" t="str">
        <f>IF(Checklist!J120="Y","Approved","Not Approved")</f>
        <v>Not Approved</v>
      </c>
      <c r="D79" s="69"/>
      <c r="E79" s="69"/>
    </row>
    <row r="80" ht="14.25" customHeight="1">
      <c r="A80" s="76"/>
      <c r="B80" s="74" t="s">
        <v>423</v>
      </c>
      <c r="C80" s="75" t="str">
        <f>IF(Checklist!J121="Y","Approved","Not Approved")</f>
        <v>Not Approved</v>
      </c>
      <c r="D80" s="69"/>
      <c r="E80" s="69"/>
    </row>
    <row r="81" ht="14.25" customHeight="1">
      <c r="A81" s="76"/>
      <c r="B81" s="74" t="s">
        <v>425</v>
      </c>
      <c r="C81" s="75" t="str">
        <f>IF(Checklist!J122="Y","Approved","Not Approved")</f>
        <v>Not Approved</v>
      </c>
      <c r="D81" s="69"/>
      <c r="E81" s="69"/>
    </row>
    <row r="82" ht="14.25" customHeight="1">
      <c r="A82" s="76"/>
      <c r="B82" s="74" t="s">
        <v>426</v>
      </c>
      <c r="C82" s="75" t="str">
        <f>IF(Checklist!J123="Y","Approved","Not Approved")</f>
        <v>Not Approved</v>
      </c>
      <c r="D82" s="69"/>
      <c r="E82" s="69"/>
    </row>
    <row r="83" ht="14.25" customHeight="1">
      <c r="A83" s="78"/>
      <c r="B83" s="74" t="s">
        <v>427</v>
      </c>
      <c r="C83" s="75" t="str">
        <f>IF(Checklist!J124="Y","Approved","Not Approved")</f>
        <v>Not Approved</v>
      </c>
      <c r="D83" s="69"/>
      <c r="E83" s="69"/>
    </row>
    <row r="84" ht="14.25" customHeight="1">
      <c r="A84" s="73" t="s">
        <v>428</v>
      </c>
      <c r="B84" s="74" t="s">
        <v>429</v>
      </c>
      <c r="C84" s="75" t="str">
        <f>IF(Checklist!J126="Y","Approved","Not Approved")</f>
        <v>Not Approved</v>
      </c>
      <c r="D84" s="69"/>
      <c r="E84" s="69"/>
    </row>
    <row r="85" ht="14.25" customHeight="1">
      <c r="A85" s="76"/>
      <c r="B85" s="74" t="s">
        <v>431</v>
      </c>
      <c r="C85" s="75" t="str">
        <f>IF(Checklist!J127="Y","Approved","Not Approved")</f>
        <v>Not Approved</v>
      </c>
      <c r="D85" s="69"/>
      <c r="E85" s="69"/>
    </row>
    <row r="86" ht="14.25" customHeight="1">
      <c r="A86" s="76"/>
      <c r="B86" s="74" t="s">
        <v>432</v>
      </c>
      <c r="C86" s="75" t="str">
        <f>IF(COUNTIF(Checklist!J128:Checklist!J129,"Y"),"Approved","Not Approved")</f>
        <v>Not Approved</v>
      </c>
      <c r="D86" s="69"/>
      <c r="E86" s="69"/>
    </row>
    <row r="87" ht="14.25" customHeight="1">
      <c r="A87" s="76"/>
      <c r="B87" s="74" t="s">
        <v>433</v>
      </c>
      <c r="C87" s="75" t="str">
        <f>IF(Checklist!J130="Y","Approved","Not Approved")</f>
        <v>Not Approved</v>
      </c>
      <c r="D87" s="69"/>
      <c r="E87" s="69"/>
    </row>
    <row r="88" ht="14.25" customHeight="1">
      <c r="A88" s="76"/>
      <c r="B88" s="74" t="s">
        <v>435</v>
      </c>
      <c r="C88" s="75" t="str">
        <f>IF(Checklist!J131="Y","Approved","Not Approved")</f>
        <v>Not Approved</v>
      </c>
      <c r="D88" s="69"/>
      <c r="E88" s="69"/>
    </row>
    <row r="89" ht="14.25" customHeight="1">
      <c r="A89" s="76"/>
      <c r="B89" s="74" t="s">
        <v>436</v>
      </c>
      <c r="C89" s="75" t="str">
        <f>IF(Checklist!J132="Y","Approved","Not Approved")</f>
        <v>Not Approved</v>
      </c>
      <c r="D89" s="69"/>
      <c r="E89" s="69"/>
    </row>
    <row r="90" ht="14.25" customHeight="1">
      <c r="A90" s="76"/>
      <c r="B90" s="74" t="s">
        <v>437</v>
      </c>
      <c r="C90" s="75" t="str">
        <f>IF(COUNTIF(Checklist!J133:Checklist!J134,"Y")&gt;0,"Approved","Not Approved")</f>
        <v>Not Approved</v>
      </c>
      <c r="D90" s="69"/>
      <c r="E90" s="69"/>
    </row>
    <row r="91" ht="14.25" customHeight="1">
      <c r="A91" s="76"/>
      <c r="B91" s="74" t="s">
        <v>438</v>
      </c>
      <c r="C91" s="75" t="str">
        <f>IF(Checklist!J135="Y","Approved","Not Approved")</f>
        <v>Not Approved</v>
      </c>
      <c r="D91" s="69"/>
      <c r="E91" s="69"/>
    </row>
    <row r="92" ht="14.25" customHeight="1">
      <c r="A92" s="76"/>
      <c r="B92" s="74" t="s">
        <v>440</v>
      </c>
      <c r="C92" s="75" t="str">
        <f>IF(Checklist!J136="Y","Approved","Not Approved")</f>
        <v>Not Approved</v>
      </c>
      <c r="D92" s="69"/>
      <c r="E92" s="69"/>
    </row>
    <row r="93" ht="14.25" customHeight="1">
      <c r="A93" s="76"/>
      <c r="B93" s="74" t="s">
        <v>441</v>
      </c>
      <c r="C93" s="75" t="str">
        <f>IF(Checklist!J137="Y","Approved","Not Approved")</f>
        <v>Not Approved</v>
      </c>
      <c r="D93" s="69"/>
      <c r="E93" s="69"/>
    </row>
    <row r="94" ht="14.25" customHeight="1">
      <c r="A94" s="78"/>
      <c r="B94" s="74" t="s">
        <v>444</v>
      </c>
      <c r="C94" s="75" t="str">
        <f>IF(Checklist!J138="Y","Approved","Not Approved")</f>
        <v>Approved</v>
      </c>
      <c r="D94" s="69"/>
      <c r="E94" s="69"/>
    </row>
    <row r="95" ht="33.0" customHeight="1">
      <c r="A95" s="73" t="s">
        <v>446</v>
      </c>
      <c r="B95" s="74" t="s">
        <v>447</v>
      </c>
      <c r="C95" s="75" t="str">
        <f>IF(Checklist!J140="Y","Approved","Not Approved")</f>
        <v>Not Approved</v>
      </c>
      <c r="D95" s="69"/>
      <c r="E95" s="69"/>
    </row>
    <row r="96" ht="14.25" customHeight="1">
      <c r="A96" s="76"/>
      <c r="B96" s="74" t="s">
        <v>448</v>
      </c>
      <c r="C96" s="75" t="str">
        <f>IF(Checklist!J141="Y","Approved","Not Approved")</f>
        <v>Not Approved</v>
      </c>
      <c r="D96" s="69"/>
      <c r="E96" s="69"/>
    </row>
    <row r="97" ht="14.25" customHeight="1">
      <c r="A97" s="76"/>
      <c r="B97" s="74" t="s">
        <v>449</v>
      </c>
      <c r="C97" s="75" t="str">
        <f>IF(Checklist!J142="Y","Approved","Not Approved")</f>
        <v>Not Approved</v>
      </c>
      <c r="D97" s="69"/>
      <c r="E97" s="69"/>
    </row>
    <row r="98" ht="14.25" customHeight="1">
      <c r="A98" s="76"/>
      <c r="B98" s="74" t="s">
        <v>452</v>
      </c>
      <c r="C98" s="75" t="str">
        <f>IF(Checklist!J143="Y","Approved","Not Approved")</f>
        <v>Not Approved</v>
      </c>
      <c r="D98" s="69"/>
      <c r="E98" s="69"/>
    </row>
    <row r="99" ht="14.25" customHeight="1">
      <c r="A99" s="76"/>
      <c r="B99" s="74" t="s">
        <v>454</v>
      </c>
      <c r="C99" s="75" t="str">
        <f>IF(Checklist!J144="Y","Approved","Not Approved")</f>
        <v>Not Approved</v>
      </c>
      <c r="D99" s="69"/>
      <c r="E99" s="69"/>
    </row>
    <row r="100" ht="14.25" customHeight="1">
      <c r="A100" s="76"/>
      <c r="B100" s="74" t="s">
        <v>455</v>
      </c>
      <c r="C100" s="75" t="str">
        <f>IF(Checklist!J145="Y","Approved","Not Approved")</f>
        <v>Not Approved</v>
      </c>
      <c r="D100" s="69"/>
      <c r="E100" s="69"/>
    </row>
    <row r="101" ht="14.25" customHeight="1">
      <c r="A101" s="76"/>
      <c r="B101" s="74" t="s">
        <v>458</v>
      </c>
      <c r="C101" s="75" t="str">
        <f>IF(Checklist!J146="Y","Approved","Not Approved")</f>
        <v>Not Approved</v>
      </c>
      <c r="D101" s="69"/>
      <c r="E101" s="69"/>
    </row>
    <row r="102" ht="14.25" customHeight="1">
      <c r="A102" s="76"/>
      <c r="B102" s="74" t="s">
        <v>460</v>
      </c>
      <c r="C102" s="75" t="str">
        <f>IF(Checklist!J147="Y","Approved","Not Approved")</f>
        <v>Not Approved</v>
      </c>
      <c r="D102" s="69"/>
      <c r="E102" s="69"/>
    </row>
    <row r="103" ht="14.25" customHeight="1">
      <c r="A103" s="76"/>
      <c r="B103" s="74" t="s">
        <v>463</v>
      </c>
      <c r="C103" s="75" t="str">
        <f>IF(Checklist!J148="Y","Approved","Not Approved")</f>
        <v>Not Approved</v>
      </c>
      <c r="D103" s="69"/>
      <c r="E103" s="69"/>
    </row>
    <row r="104" ht="14.25" customHeight="1">
      <c r="A104" s="76"/>
      <c r="B104" s="74" t="s">
        <v>464</v>
      </c>
      <c r="C104" s="75" t="str">
        <f>IF(Checklist!J149="Y","Approved","Not Approved")</f>
        <v>Not Approved</v>
      </c>
      <c r="D104" s="69"/>
      <c r="E104" s="69"/>
    </row>
    <row r="105" ht="14.25" customHeight="1">
      <c r="A105" s="76"/>
      <c r="B105" s="74" t="s">
        <v>465</v>
      </c>
      <c r="C105" s="75" t="str">
        <f>IF(Checklist!J150="Y","Approved","Not Approved")</f>
        <v>Not Approved</v>
      </c>
      <c r="D105" s="69"/>
      <c r="E105" s="69"/>
    </row>
    <row r="106" ht="14.25" customHeight="1">
      <c r="A106" s="76"/>
      <c r="B106" s="74" t="s">
        <v>467</v>
      </c>
      <c r="C106" s="75" t="str">
        <f>IF(Checklist!J152="Y","Approved","Not Approved")</f>
        <v>Not Approved</v>
      </c>
      <c r="D106" s="69"/>
      <c r="E106" s="69"/>
    </row>
    <row r="107" ht="14.25" customHeight="1">
      <c r="A107" s="76"/>
      <c r="B107" s="74" t="s">
        <v>468</v>
      </c>
      <c r="C107" s="75" t="str">
        <f>IF(Checklist!J153="Y","Approved","Not Approved")</f>
        <v>Approved</v>
      </c>
      <c r="D107" s="69"/>
      <c r="E107" s="69"/>
    </row>
    <row r="108" ht="14.25" customHeight="1">
      <c r="A108" s="76"/>
      <c r="B108" s="74" t="s">
        <v>469</v>
      </c>
      <c r="C108" s="75" t="str">
        <f>IF(Checklist!J154="Y","Approved","Not Approved")</f>
        <v>Not Approved</v>
      </c>
      <c r="D108" s="69"/>
      <c r="E108" s="69"/>
    </row>
    <row r="109" ht="14.25" customHeight="1">
      <c r="A109" s="78"/>
      <c r="B109" s="74" t="s">
        <v>470</v>
      </c>
      <c r="C109" s="75" t="str">
        <f>IF(Checklist!J155="Y","Approved","Not Approved")</f>
        <v>Not Approved</v>
      </c>
      <c r="D109" s="69"/>
      <c r="E109" s="69"/>
    </row>
    <row r="110" ht="14.25" customHeight="1">
      <c r="A110" s="73" t="s">
        <v>472</v>
      </c>
      <c r="B110" s="74" t="s">
        <v>473</v>
      </c>
      <c r="C110" s="75" t="str">
        <f>IF(Checklist!J157="Y","Approved","Not Approved")</f>
        <v>Not Approved</v>
      </c>
      <c r="D110" s="69"/>
      <c r="E110" s="69"/>
    </row>
    <row r="111" ht="14.25" customHeight="1">
      <c r="A111" s="76"/>
      <c r="B111" s="74" t="s">
        <v>474</v>
      </c>
      <c r="C111" s="75" t="str">
        <f>IF(Checklist!J160="Y","Approved","Not Approved")</f>
        <v>Not Approved</v>
      </c>
      <c r="D111" s="69"/>
      <c r="E111" s="69"/>
    </row>
    <row r="112" ht="14.25" customHeight="1">
      <c r="A112" s="76"/>
      <c r="B112" s="74" t="s">
        <v>475</v>
      </c>
      <c r="C112" s="75" t="str">
        <f>IF(Checklist!J161="Y","Approved","Not Approved")</f>
        <v>Not Approved</v>
      </c>
      <c r="D112" s="69"/>
      <c r="E112" s="69"/>
    </row>
    <row r="113" ht="14.25" customHeight="1">
      <c r="A113" s="76"/>
      <c r="B113" s="74" t="s">
        <v>476</v>
      </c>
      <c r="C113" s="75" t="str">
        <f>IF(Checklist!J164="Y","Approved","Not Approved")</f>
        <v>Approved</v>
      </c>
      <c r="D113" s="69"/>
      <c r="E113" s="69"/>
    </row>
    <row r="114" ht="78.75" customHeight="1">
      <c r="A114" s="78"/>
      <c r="B114" s="74" t="s">
        <v>478</v>
      </c>
      <c r="C114" s="75" t="str">
        <f>IF(Checklist!J166="Y","Approved","Not Approved")</f>
        <v>Approved</v>
      </c>
      <c r="D114" s="69"/>
      <c r="E114" s="69"/>
    </row>
    <row r="115" ht="14.25" customHeight="1">
      <c r="A115" s="73" t="s">
        <v>479</v>
      </c>
      <c r="B115" s="74" t="s">
        <v>480</v>
      </c>
      <c r="C115" s="75" t="str">
        <f>IF(Checklist!J169="Y","Approved","Not Approved")</f>
        <v>Not Approved</v>
      </c>
      <c r="D115" s="69"/>
      <c r="E115" s="69"/>
    </row>
    <row r="116" ht="14.25" customHeight="1">
      <c r="A116" s="76"/>
      <c r="B116" s="74" t="s">
        <v>481</v>
      </c>
      <c r="C116" s="75" t="str">
        <f>IF(Checklist!J170="Y","Approved","Not Approved")</f>
        <v>Not Approved</v>
      </c>
      <c r="D116" s="69"/>
      <c r="E116" s="69"/>
    </row>
    <row r="117" ht="14.25" customHeight="1">
      <c r="A117" s="76"/>
      <c r="B117" s="74" t="s">
        <v>482</v>
      </c>
      <c r="C117" s="75" t="str">
        <f>IF(Checklist!J171="Y","Approved","Not Approved")</f>
        <v>Not Approved</v>
      </c>
      <c r="D117" s="69"/>
      <c r="E117" s="69"/>
    </row>
    <row r="118" ht="14.25" customHeight="1">
      <c r="A118" s="76"/>
      <c r="B118" s="74" t="s">
        <v>483</v>
      </c>
      <c r="C118" s="75" t="str">
        <f>IF(Checklist!J172="Y","Approved","Not Approved")</f>
        <v>Not Approved</v>
      </c>
      <c r="D118" s="69"/>
      <c r="E118" s="69"/>
    </row>
    <row r="119" ht="14.25" customHeight="1">
      <c r="A119" s="76"/>
      <c r="B119" s="74" t="s">
        <v>484</v>
      </c>
      <c r="C119" s="75" t="str">
        <f>IF(Checklist!J173="Y","Approved","Not Approved")</f>
        <v>Not Approved</v>
      </c>
      <c r="D119" s="69"/>
      <c r="E119" s="69"/>
    </row>
    <row r="120" ht="14.25" customHeight="1">
      <c r="A120" s="76"/>
      <c r="B120" s="74" t="s">
        <v>486</v>
      </c>
      <c r="C120" s="75" t="str">
        <f>IF(Checklist!J174="Y","Approved","Not Approved")</f>
        <v>Not Approved</v>
      </c>
      <c r="D120" s="69"/>
      <c r="E120" s="69"/>
    </row>
    <row r="121" ht="14.25" customHeight="1">
      <c r="A121" s="76"/>
      <c r="B121" s="74" t="s">
        <v>487</v>
      </c>
      <c r="C121" s="75" t="str">
        <f>IF(Checklist!J175="Y","Approved","Not Approved")</f>
        <v>Not Approved</v>
      </c>
      <c r="D121" s="69"/>
      <c r="E121" s="69"/>
    </row>
    <row r="122" ht="14.25" customHeight="1">
      <c r="A122" s="76"/>
      <c r="B122" s="74" t="s">
        <v>488</v>
      </c>
      <c r="C122" s="75" t="str">
        <f>IF(Checklist!J176="Y","Approved","Not Approved")</f>
        <v>Not Approved</v>
      </c>
      <c r="D122" s="69"/>
      <c r="E122" s="69"/>
    </row>
    <row r="123" ht="14.25" customHeight="1">
      <c r="A123" s="78"/>
      <c r="B123" s="74" t="s">
        <v>489</v>
      </c>
      <c r="C123" s="75" t="str">
        <f>IF(Checklist!J178="Y","Approved","Not Approved")</f>
        <v>Not Approved</v>
      </c>
      <c r="D123" s="69"/>
      <c r="E123" s="69"/>
    </row>
    <row r="124" ht="14.25" customHeight="1">
      <c r="A124" s="73" t="s">
        <v>491</v>
      </c>
      <c r="B124" s="74" t="s">
        <v>492</v>
      </c>
      <c r="C124" s="75" t="str">
        <f>IF(Checklist!J180="Y","Approved","Not Approved")</f>
        <v>Not Approved</v>
      </c>
      <c r="D124" s="69"/>
      <c r="E124" s="69"/>
    </row>
    <row r="125" ht="14.25" customHeight="1">
      <c r="A125" s="76"/>
      <c r="B125" s="74" t="s">
        <v>493</v>
      </c>
      <c r="C125" s="75" t="str">
        <f>IF(Checklist!J181="Y","Approved","Not Approved")</f>
        <v>Not Approved</v>
      </c>
      <c r="D125" s="69"/>
      <c r="E125" s="69"/>
    </row>
    <row r="126" ht="14.25" customHeight="1">
      <c r="A126" s="76"/>
      <c r="B126" s="74" t="s">
        <v>494</v>
      </c>
      <c r="C126" s="75" t="str">
        <f>IF(Checklist!J182="Y","Approved","Not Approved")</f>
        <v>Not Approved</v>
      </c>
      <c r="D126" s="69"/>
      <c r="E126" s="69"/>
    </row>
    <row r="127" ht="14.25" customHeight="1">
      <c r="A127" s="76"/>
      <c r="B127" s="74" t="s">
        <v>495</v>
      </c>
      <c r="C127" s="75" t="str">
        <f>IF(Checklist!J183="Y","Approved","Not Approved")</f>
        <v>Not Approved</v>
      </c>
      <c r="D127" s="69"/>
      <c r="E127" s="69"/>
    </row>
    <row r="128" ht="14.25" customHeight="1">
      <c r="A128" s="76"/>
      <c r="B128" s="74" t="s">
        <v>497</v>
      </c>
      <c r="C128" s="75" t="str">
        <f>IF(Checklist!J184="Y","Approved","Not Approved")</f>
        <v>Not Approved</v>
      </c>
      <c r="D128" s="69"/>
      <c r="E128" s="69"/>
    </row>
    <row r="129" ht="14.25" customHeight="1">
      <c r="A129" s="76"/>
      <c r="B129" s="74" t="s">
        <v>498</v>
      </c>
      <c r="C129" s="75" t="str">
        <f>IF(Checklist!J185="Y","Approved","Not Approved")</f>
        <v>Not Approved</v>
      </c>
      <c r="D129" s="69"/>
      <c r="E129" s="69"/>
    </row>
    <row r="130" ht="14.25" customHeight="1">
      <c r="A130" s="76"/>
      <c r="B130" s="74" t="s">
        <v>500</v>
      </c>
      <c r="C130" s="75" t="str">
        <f>IF(COUNTIF(Checklist!J186:Checklist!J188,"Y")&gt;0,"Approved","Not Approved")</f>
        <v>Not Approved</v>
      </c>
      <c r="D130" s="69"/>
      <c r="E130" s="69"/>
    </row>
    <row r="131" ht="14.25" customHeight="1">
      <c r="A131" s="76"/>
      <c r="B131" s="74" t="s">
        <v>502</v>
      </c>
      <c r="C131" s="75" t="str">
        <f>IF(Checklist!J189="Y","Approved","Not Approved")</f>
        <v>Not Approved</v>
      </c>
      <c r="D131" s="69"/>
      <c r="E131" s="69"/>
    </row>
    <row r="132" ht="14.25" customHeight="1">
      <c r="A132" s="76"/>
      <c r="B132" s="74" t="s">
        <v>504</v>
      </c>
      <c r="C132" s="75" t="str">
        <f>IF(Checklist!J190="Y","Approved","Not Approved")</f>
        <v>Not Approved</v>
      </c>
      <c r="D132" s="69"/>
      <c r="E132" s="69"/>
    </row>
    <row r="133" ht="14.25" customHeight="1">
      <c r="A133" s="76"/>
      <c r="B133" s="74" t="s">
        <v>505</v>
      </c>
      <c r="C133" s="75" t="str">
        <f>IF(Checklist!J192="Y","Approved","Not Approved")</f>
        <v>Approved</v>
      </c>
      <c r="D133" s="69"/>
      <c r="E133" s="69"/>
    </row>
    <row r="134" ht="14.25" customHeight="1">
      <c r="A134" s="76"/>
      <c r="B134" s="74" t="s">
        <v>507</v>
      </c>
      <c r="C134" s="75" t="str">
        <f>IF(Checklist!J193="Y","Approved","Not Approved")</f>
        <v>Not Approved</v>
      </c>
      <c r="D134" s="69"/>
      <c r="E134" s="69"/>
    </row>
    <row r="135" ht="14.25" customHeight="1">
      <c r="A135" s="76"/>
      <c r="B135" s="74" t="s">
        <v>509</v>
      </c>
      <c r="C135" s="75" t="str">
        <f>IF(Checklist!J194="Y","Approved","Not Approved")</f>
        <v>Not Approved</v>
      </c>
      <c r="D135" s="69"/>
      <c r="E135" s="69"/>
    </row>
    <row r="136" ht="14.25" customHeight="1">
      <c r="A136" s="76"/>
      <c r="B136" s="74" t="s">
        <v>510</v>
      </c>
      <c r="C136" s="75" t="str">
        <f>IF(Checklist!J195="Y","Approved","Not Approved")</f>
        <v>Approved</v>
      </c>
      <c r="D136" s="69"/>
      <c r="E136" s="69"/>
    </row>
    <row r="137" ht="14.25" customHeight="1">
      <c r="A137" s="78"/>
      <c r="B137" s="74" t="s">
        <v>512</v>
      </c>
      <c r="C137" s="75" t="str">
        <f>IF(Checklist!J196="Y","Approved","Not Approved")</f>
        <v>Not Approved</v>
      </c>
      <c r="D137" s="69"/>
      <c r="E137" s="69"/>
    </row>
    <row r="138" ht="14.25" customHeight="1">
      <c r="D138" s="69"/>
      <c r="E138" s="69"/>
    </row>
    <row r="139" ht="14.25" customHeight="1">
      <c r="D139" s="69"/>
      <c r="E139" s="69"/>
    </row>
    <row r="140" ht="14.25" customHeight="1">
      <c r="D140" s="69"/>
      <c r="E140" s="69"/>
    </row>
    <row r="141" ht="14.25" customHeight="1">
      <c r="D141" s="69"/>
      <c r="E141" s="69"/>
    </row>
    <row r="142" ht="14.25" customHeight="1">
      <c r="D142" s="69"/>
      <c r="E142" s="69"/>
    </row>
    <row r="143" ht="14.25" customHeight="1">
      <c r="D143" s="69"/>
      <c r="E143" s="69"/>
    </row>
    <row r="144" ht="14.25" customHeight="1">
      <c r="D144" s="69"/>
      <c r="E144" s="69"/>
    </row>
    <row r="145" ht="14.25" customHeight="1">
      <c r="D145" s="69"/>
      <c r="E145" s="69"/>
    </row>
    <row r="146" ht="14.25" customHeight="1">
      <c r="D146" s="69"/>
      <c r="E146" s="69"/>
    </row>
    <row r="147" ht="14.25" customHeight="1">
      <c r="D147" s="69"/>
      <c r="E147" s="69"/>
    </row>
    <row r="148" ht="14.25" customHeight="1">
      <c r="D148" s="69"/>
      <c r="E148" s="69"/>
    </row>
    <row r="149" ht="14.25" customHeight="1">
      <c r="D149" s="69"/>
      <c r="E149" s="69"/>
    </row>
    <row r="150" ht="14.25" customHeight="1">
      <c r="D150" s="69"/>
      <c r="E150" s="69"/>
    </row>
    <row r="151" ht="14.25" customHeight="1">
      <c r="D151" s="69"/>
      <c r="E151" s="69"/>
    </row>
    <row r="152" ht="14.25" customHeight="1">
      <c r="D152" s="69"/>
      <c r="E152" s="69"/>
    </row>
    <row r="153" ht="14.25" customHeight="1">
      <c r="D153" s="69"/>
      <c r="E153" s="69"/>
    </row>
    <row r="154" ht="14.25" customHeight="1">
      <c r="D154" s="69"/>
      <c r="E154" s="69"/>
    </row>
    <row r="155" ht="14.25" customHeight="1">
      <c r="D155" s="69"/>
      <c r="E155" s="69"/>
    </row>
    <row r="156" ht="14.25" customHeight="1">
      <c r="D156" s="69"/>
      <c r="E156" s="69"/>
    </row>
    <row r="157" ht="14.25" customHeight="1">
      <c r="D157" s="69"/>
      <c r="E157" s="69"/>
    </row>
    <row r="158" ht="14.25" customHeight="1">
      <c r="D158" s="69"/>
      <c r="E158" s="69"/>
    </row>
    <row r="159" ht="14.25" customHeight="1">
      <c r="D159" s="69"/>
      <c r="E159" s="69"/>
    </row>
    <row r="160" ht="14.25" customHeight="1">
      <c r="D160" s="69"/>
      <c r="E160" s="69"/>
    </row>
    <row r="161" ht="14.25" customHeight="1">
      <c r="D161" s="69"/>
      <c r="E161" s="69"/>
    </row>
    <row r="162" ht="14.25" customHeight="1">
      <c r="D162" s="69"/>
      <c r="E162" s="69"/>
    </row>
    <row r="163" ht="14.25" customHeight="1">
      <c r="D163" s="69"/>
      <c r="E163" s="69"/>
    </row>
    <row r="164" ht="14.25" customHeight="1">
      <c r="D164" s="69"/>
      <c r="E164" s="69"/>
    </row>
    <row r="165" ht="14.25" customHeight="1">
      <c r="D165" s="69"/>
      <c r="E165" s="69"/>
    </row>
    <row r="166" ht="14.25" customHeight="1">
      <c r="D166" s="69"/>
      <c r="E166" s="69"/>
    </row>
    <row r="167" ht="14.25" customHeight="1">
      <c r="D167" s="69"/>
      <c r="E167" s="69"/>
    </row>
    <row r="168" ht="14.25" customHeight="1">
      <c r="D168" s="69"/>
      <c r="E168" s="69"/>
    </row>
    <row r="169" ht="14.25" customHeight="1">
      <c r="D169" s="69"/>
      <c r="E169" s="69"/>
    </row>
    <row r="170" ht="14.25" customHeight="1">
      <c r="D170" s="69"/>
      <c r="E170" s="69"/>
    </row>
    <row r="171" ht="14.25" customHeight="1">
      <c r="D171" s="69"/>
      <c r="E171" s="69"/>
    </row>
    <row r="172" ht="14.25" customHeight="1">
      <c r="D172" s="69"/>
      <c r="E172" s="69"/>
    </row>
    <row r="173" ht="14.25" customHeight="1">
      <c r="D173" s="69"/>
      <c r="E173" s="69"/>
    </row>
    <row r="174" ht="14.25" customHeight="1">
      <c r="D174" s="69"/>
      <c r="E174" s="69"/>
    </row>
    <row r="175" ht="14.25" customHeight="1">
      <c r="D175" s="69"/>
      <c r="E175" s="69"/>
    </row>
    <row r="176" ht="14.25" customHeight="1">
      <c r="D176" s="69"/>
      <c r="E176" s="69"/>
    </row>
    <row r="177" ht="14.25" customHeight="1">
      <c r="D177" s="69"/>
      <c r="E177" s="69"/>
    </row>
    <row r="178" ht="14.25" customHeight="1">
      <c r="D178" s="69"/>
      <c r="E178" s="69"/>
    </row>
    <row r="179" ht="14.25" customHeight="1">
      <c r="D179" s="69"/>
      <c r="E179" s="69"/>
    </row>
    <row r="180" ht="14.25" customHeight="1">
      <c r="D180" s="69"/>
      <c r="E180" s="69"/>
    </row>
    <row r="181" ht="14.25" customHeight="1">
      <c r="D181" s="69"/>
      <c r="E181" s="69"/>
    </row>
    <row r="182" ht="14.25" customHeight="1">
      <c r="D182" s="69"/>
      <c r="E182" s="69"/>
    </row>
    <row r="183" ht="14.25" customHeight="1">
      <c r="D183" s="69"/>
      <c r="E183" s="69"/>
    </row>
    <row r="184" ht="14.25" customHeight="1">
      <c r="D184" s="69"/>
      <c r="E184" s="69"/>
    </row>
    <row r="185" ht="14.25" customHeight="1">
      <c r="D185" s="69"/>
      <c r="E185" s="69"/>
    </row>
    <row r="186" ht="14.25" customHeight="1">
      <c r="D186" s="69"/>
      <c r="E186" s="69"/>
    </row>
    <row r="187" ht="14.25" customHeight="1">
      <c r="D187" s="69"/>
      <c r="E187" s="69"/>
    </row>
    <row r="188" ht="14.25" customHeight="1">
      <c r="D188" s="69"/>
      <c r="E188" s="69"/>
    </row>
    <row r="189" ht="14.25" customHeight="1">
      <c r="D189" s="69"/>
      <c r="E189" s="69"/>
    </row>
    <row r="190" ht="14.25" customHeight="1">
      <c r="D190" s="69"/>
      <c r="E190" s="69"/>
    </row>
    <row r="191" ht="14.25" customHeight="1">
      <c r="D191" s="69"/>
      <c r="E191" s="69"/>
    </row>
    <row r="192" ht="14.25" customHeight="1">
      <c r="D192" s="69"/>
      <c r="E192" s="69"/>
    </row>
    <row r="193" ht="14.25" customHeight="1">
      <c r="D193" s="69"/>
      <c r="E193" s="69"/>
    </row>
    <row r="194" ht="14.25" customHeight="1">
      <c r="D194" s="69"/>
      <c r="E194" s="69"/>
    </row>
    <row r="195" ht="14.25" customHeight="1">
      <c r="D195" s="69"/>
      <c r="E195" s="69"/>
    </row>
    <row r="196" ht="14.25" customHeight="1">
      <c r="D196" s="69"/>
      <c r="E196" s="69"/>
    </row>
    <row r="197" ht="14.25" customHeight="1">
      <c r="D197" s="69"/>
      <c r="E197" s="69"/>
    </row>
    <row r="198" ht="14.25" customHeight="1">
      <c r="D198" s="69"/>
      <c r="E198" s="69"/>
    </row>
    <row r="199" ht="14.25" customHeight="1">
      <c r="D199" s="69"/>
      <c r="E199" s="69"/>
    </row>
    <row r="200" ht="14.25" customHeight="1">
      <c r="D200" s="69"/>
      <c r="E200" s="69"/>
    </row>
    <row r="201" ht="14.25" customHeight="1">
      <c r="D201" s="69"/>
      <c r="E201" s="69"/>
    </row>
    <row r="202" ht="14.25" customHeight="1">
      <c r="D202" s="69"/>
      <c r="E202" s="69"/>
    </row>
    <row r="203" ht="14.25" customHeight="1">
      <c r="D203" s="69"/>
      <c r="E203" s="69"/>
    </row>
    <row r="204" ht="14.25" customHeight="1">
      <c r="D204" s="69"/>
      <c r="E204" s="69"/>
    </row>
    <row r="205" ht="14.25" customHeight="1">
      <c r="D205" s="69"/>
      <c r="E205" s="69"/>
    </row>
    <row r="206" ht="14.25" customHeight="1">
      <c r="D206" s="69"/>
      <c r="E206" s="69"/>
    </row>
    <row r="207" ht="14.25" customHeight="1">
      <c r="D207" s="69"/>
      <c r="E207" s="69"/>
    </row>
    <row r="208" ht="14.25" customHeight="1">
      <c r="D208" s="69"/>
      <c r="E208" s="69"/>
    </row>
    <row r="209" ht="14.25" customHeight="1">
      <c r="D209" s="69"/>
      <c r="E209" s="69"/>
    </row>
    <row r="210" ht="14.25" customHeight="1">
      <c r="D210" s="69"/>
      <c r="E210" s="69"/>
    </row>
    <row r="211" ht="14.25" customHeight="1">
      <c r="D211" s="69"/>
      <c r="E211" s="69"/>
    </row>
    <row r="212" ht="14.25" customHeight="1">
      <c r="D212" s="69"/>
      <c r="E212" s="69"/>
    </row>
    <row r="213" ht="14.25" customHeight="1">
      <c r="D213" s="69"/>
      <c r="E213" s="69"/>
    </row>
    <row r="214" ht="14.25" customHeight="1">
      <c r="D214" s="69"/>
      <c r="E214" s="69"/>
    </row>
    <row r="215" ht="14.25" customHeight="1">
      <c r="D215" s="69"/>
      <c r="E215" s="69"/>
    </row>
    <row r="216" ht="14.25" customHeight="1">
      <c r="D216" s="69"/>
      <c r="E216" s="69"/>
    </row>
    <row r="217" ht="14.25" customHeight="1">
      <c r="D217" s="69"/>
      <c r="E217" s="69"/>
    </row>
    <row r="218" ht="14.25" customHeight="1">
      <c r="D218" s="69"/>
      <c r="E218" s="69"/>
    </row>
    <row r="219" ht="14.25" customHeight="1">
      <c r="D219" s="69"/>
      <c r="E219" s="69"/>
    </row>
    <row r="220" ht="14.25" customHeight="1">
      <c r="D220" s="69"/>
      <c r="E220" s="69"/>
    </row>
    <row r="221" ht="14.25" customHeight="1">
      <c r="D221" s="69"/>
      <c r="E221" s="69"/>
    </row>
    <row r="222" ht="14.25" customHeight="1">
      <c r="D222" s="69"/>
      <c r="E222" s="69"/>
    </row>
    <row r="223" ht="14.25" customHeight="1">
      <c r="D223" s="69"/>
      <c r="E223" s="69"/>
    </row>
    <row r="224" ht="14.25" customHeight="1">
      <c r="D224" s="69"/>
      <c r="E224" s="69"/>
    </row>
    <row r="225" ht="14.25" customHeight="1">
      <c r="D225" s="69"/>
      <c r="E225" s="69"/>
    </row>
    <row r="226" ht="14.25" customHeight="1">
      <c r="D226" s="69"/>
      <c r="E226" s="69"/>
    </row>
    <row r="227" ht="14.25" customHeight="1">
      <c r="D227" s="69"/>
      <c r="E227" s="69"/>
    </row>
    <row r="228" ht="14.25" customHeight="1">
      <c r="D228" s="69"/>
      <c r="E228" s="69"/>
    </row>
    <row r="229" ht="14.25" customHeight="1">
      <c r="D229" s="69"/>
      <c r="E229" s="69"/>
    </row>
    <row r="230" ht="14.25" customHeight="1">
      <c r="D230" s="69"/>
      <c r="E230" s="69"/>
    </row>
    <row r="231" ht="14.25" customHeight="1">
      <c r="D231" s="69"/>
      <c r="E231" s="69"/>
    </row>
    <row r="232" ht="14.25" customHeight="1">
      <c r="D232" s="69"/>
      <c r="E232" s="69"/>
    </row>
    <row r="233" ht="14.25" customHeight="1">
      <c r="D233" s="69"/>
      <c r="E233" s="69"/>
    </row>
    <row r="234" ht="14.25" customHeight="1">
      <c r="D234" s="69"/>
      <c r="E234" s="69"/>
    </row>
    <row r="235" ht="14.25" customHeight="1">
      <c r="D235" s="69"/>
      <c r="E235" s="69"/>
    </row>
    <row r="236" ht="14.25" customHeight="1">
      <c r="D236" s="69"/>
      <c r="E236" s="69"/>
    </row>
    <row r="237" ht="14.25" customHeight="1">
      <c r="D237" s="69"/>
      <c r="E237" s="69"/>
    </row>
    <row r="238" ht="14.25" customHeight="1">
      <c r="D238" s="69"/>
      <c r="E238" s="69"/>
    </row>
    <row r="239" ht="14.25" customHeight="1">
      <c r="D239" s="69"/>
      <c r="E239" s="69"/>
    </row>
    <row r="240" ht="14.25" customHeight="1">
      <c r="D240" s="69"/>
      <c r="E240" s="69"/>
    </row>
    <row r="241" ht="14.25" customHeight="1">
      <c r="D241" s="69"/>
      <c r="E241" s="69"/>
    </row>
    <row r="242" ht="14.25" customHeight="1">
      <c r="D242" s="69"/>
      <c r="E242" s="69"/>
    </row>
    <row r="243" ht="14.25" customHeight="1">
      <c r="D243" s="69"/>
      <c r="E243" s="69"/>
    </row>
    <row r="244" ht="14.25" customHeight="1">
      <c r="D244" s="69"/>
      <c r="E244" s="69"/>
    </row>
    <row r="245" ht="14.25" customHeight="1">
      <c r="D245" s="69"/>
      <c r="E245" s="69"/>
    </row>
    <row r="246" ht="14.25" customHeight="1">
      <c r="D246" s="69"/>
      <c r="E246" s="69"/>
    </row>
    <row r="247" ht="14.25" customHeight="1">
      <c r="D247" s="69"/>
      <c r="E247" s="69"/>
    </row>
    <row r="248" ht="14.25" customHeight="1">
      <c r="D248" s="69"/>
      <c r="E248" s="69"/>
    </row>
    <row r="249" ht="14.25" customHeight="1">
      <c r="D249" s="69"/>
      <c r="E249" s="69"/>
    </row>
    <row r="250" ht="14.25" customHeight="1">
      <c r="D250" s="69"/>
      <c r="E250" s="69"/>
    </row>
    <row r="251" ht="14.25" customHeight="1">
      <c r="D251" s="69"/>
      <c r="E251" s="69"/>
    </row>
    <row r="252" ht="14.25" customHeight="1">
      <c r="D252" s="69"/>
      <c r="E252" s="69"/>
    </row>
    <row r="253" ht="14.25" customHeight="1">
      <c r="D253" s="69"/>
      <c r="E253" s="69"/>
    </row>
    <row r="254" ht="14.25" customHeight="1">
      <c r="D254" s="69"/>
      <c r="E254" s="69"/>
    </row>
    <row r="255" ht="14.25" customHeight="1">
      <c r="D255" s="69"/>
      <c r="E255" s="69"/>
    </row>
    <row r="256" ht="14.25" customHeight="1">
      <c r="D256" s="69"/>
      <c r="E256" s="69"/>
    </row>
    <row r="257" ht="14.25" customHeight="1">
      <c r="D257" s="69"/>
      <c r="E257" s="69"/>
    </row>
    <row r="258" ht="14.25" customHeight="1">
      <c r="D258" s="69"/>
      <c r="E258" s="69"/>
    </row>
    <row r="259" ht="14.25" customHeight="1">
      <c r="D259" s="69"/>
      <c r="E259" s="69"/>
    </row>
    <row r="260" ht="14.25" customHeight="1">
      <c r="D260" s="69"/>
      <c r="E260" s="69"/>
    </row>
    <row r="261" ht="14.25" customHeight="1">
      <c r="D261" s="69"/>
      <c r="E261" s="69"/>
    </row>
    <row r="262" ht="14.25" customHeight="1">
      <c r="D262" s="69"/>
      <c r="E262" s="69"/>
    </row>
    <row r="263" ht="14.25" customHeight="1">
      <c r="D263" s="69"/>
      <c r="E263" s="69"/>
    </row>
    <row r="264" ht="14.25" customHeight="1">
      <c r="D264" s="69"/>
      <c r="E264" s="69"/>
    </row>
    <row r="265" ht="14.25" customHeight="1">
      <c r="D265" s="69"/>
      <c r="E265" s="69"/>
    </row>
    <row r="266" ht="14.25" customHeight="1">
      <c r="D266" s="69"/>
      <c r="E266" s="69"/>
    </row>
    <row r="267" ht="14.25" customHeight="1">
      <c r="D267" s="69"/>
      <c r="E267" s="69"/>
    </row>
    <row r="268" ht="14.25" customHeight="1">
      <c r="D268" s="69"/>
      <c r="E268" s="69"/>
    </row>
    <row r="269" ht="14.25" customHeight="1">
      <c r="D269" s="69"/>
      <c r="E269" s="69"/>
    </row>
    <row r="270" ht="14.25" customHeight="1">
      <c r="D270" s="69"/>
      <c r="E270" s="69"/>
    </row>
    <row r="271" ht="14.25" customHeight="1">
      <c r="D271" s="69"/>
      <c r="E271" s="69"/>
    </row>
    <row r="272" ht="14.25" customHeight="1">
      <c r="D272" s="69"/>
      <c r="E272" s="69"/>
    </row>
    <row r="273" ht="14.25" customHeight="1">
      <c r="D273" s="69"/>
      <c r="E273" s="69"/>
    </row>
    <row r="274" ht="14.25" customHeight="1">
      <c r="D274" s="69"/>
      <c r="E274" s="69"/>
    </row>
    <row r="275" ht="14.25" customHeight="1">
      <c r="D275" s="69"/>
      <c r="E275" s="69"/>
    </row>
    <row r="276" ht="14.25" customHeight="1">
      <c r="D276" s="69"/>
      <c r="E276" s="69"/>
    </row>
    <row r="277" ht="14.25" customHeight="1">
      <c r="D277" s="69"/>
      <c r="E277" s="69"/>
    </row>
    <row r="278" ht="14.25" customHeight="1">
      <c r="D278" s="69"/>
      <c r="E278" s="69"/>
    </row>
    <row r="279" ht="14.25" customHeight="1">
      <c r="D279" s="69"/>
      <c r="E279" s="69"/>
    </row>
    <row r="280" ht="14.25" customHeight="1">
      <c r="D280" s="69"/>
      <c r="E280" s="69"/>
    </row>
    <row r="281" ht="14.25" customHeight="1">
      <c r="D281" s="69"/>
      <c r="E281" s="69"/>
    </row>
    <row r="282" ht="14.25" customHeight="1">
      <c r="D282" s="69"/>
      <c r="E282" s="69"/>
    </row>
    <row r="283" ht="14.25" customHeight="1">
      <c r="D283" s="69"/>
      <c r="E283" s="69"/>
    </row>
    <row r="284" ht="14.25" customHeight="1">
      <c r="D284" s="69"/>
      <c r="E284" s="69"/>
    </row>
    <row r="285" ht="14.25" customHeight="1">
      <c r="D285" s="69"/>
      <c r="E285" s="69"/>
    </row>
    <row r="286" ht="14.25" customHeight="1">
      <c r="D286" s="69"/>
      <c r="E286" s="69"/>
    </row>
    <row r="287" ht="14.25" customHeight="1">
      <c r="D287" s="69"/>
      <c r="E287" s="69"/>
    </row>
    <row r="288" ht="14.25" customHeight="1">
      <c r="D288" s="69"/>
      <c r="E288" s="69"/>
    </row>
    <row r="289" ht="14.25" customHeight="1">
      <c r="D289" s="69"/>
      <c r="E289" s="69"/>
    </row>
    <row r="290" ht="14.25" customHeight="1">
      <c r="D290" s="69"/>
      <c r="E290" s="69"/>
    </row>
    <row r="291" ht="14.25" customHeight="1">
      <c r="D291" s="69"/>
      <c r="E291" s="69"/>
    </row>
    <row r="292" ht="14.25" customHeight="1">
      <c r="D292" s="69"/>
      <c r="E292" s="69"/>
    </row>
    <row r="293" ht="14.25" customHeight="1">
      <c r="D293" s="69"/>
      <c r="E293" s="69"/>
    </row>
    <row r="294" ht="14.25" customHeight="1">
      <c r="D294" s="69"/>
      <c r="E294" s="69"/>
    </row>
    <row r="295" ht="14.25" customHeight="1">
      <c r="D295" s="69"/>
      <c r="E295" s="69"/>
    </row>
    <row r="296" ht="14.25" customHeight="1">
      <c r="D296" s="69"/>
      <c r="E296" s="69"/>
    </row>
    <row r="297" ht="14.25" customHeight="1">
      <c r="D297" s="69"/>
      <c r="E297" s="69"/>
    </row>
    <row r="298" ht="14.25" customHeight="1">
      <c r="D298" s="69"/>
      <c r="E298" s="69"/>
    </row>
    <row r="299" ht="14.25" customHeight="1">
      <c r="D299" s="69"/>
      <c r="E299" s="69"/>
    </row>
    <row r="300" ht="14.25" customHeight="1">
      <c r="D300" s="69"/>
      <c r="E300" s="69"/>
    </row>
    <row r="301" ht="14.25" customHeight="1">
      <c r="D301" s="69"/>
      <c r="E301" s="69"/>
    </row>
    <row r="302" ht="14.25" customHeight="1">
      <c r="D302" s="69"/>
      <c r="E302" s="69"/>
    </row>
    <row r="303" ht="14.25" customHeight="1">
      <c r="D303" s="69"/>
      <c r="E303" s="69"/>
    </row>
    <row r="304" ht="14.25" customHeight="1">
      <c r="D304" s="69"/>
      <c r="E304" s="69"/>
    </row>
    <row r="305" ht="14.25" customHeight="1">
      <c r="D305" s="69"/>
      <c r="E305" s="69"/>
    </row>
    <row r="306" ht="14.25" customHeight="1">
      <c r="D306" s="69"/>
      <c r="E306" s="69"/>
    </row>
    <row r="307" ht="14.25" customHeight="1">
      <c r="D307" s="69"/>
      <c r="E307" s="69"/>
    </row>
    <row r="308" ht="14.25" customHeight="1">
      <c r="D308" s="69"/>
      <c r="E308" s="69"/>
    </row>
    <row r="309" ht="14.25" customHeight="1">
      <c r="D309" s="69"/>
      <c r="E309" s="69"/>
    </row>
    <row r="310" ht="14.25" customHeight="1">
      <c r="D310" s="69"/>
      <c r="E310" s="69"/>
    </row>
    <row r="311" ht="14.25" customHeight="1">
      <c r="D311" s="69"/>
      <c r="E311" s="69"/>
    </row>
    <row r="312" ht="14.25" customHeight="1">
      <c r="D312" s="69"/>
      <c r="E312" s="69"/>
    </row>
    <row r="313" ht="14.25" customHeight="1">
      <c r="D313" s="69"/>
      <c r="E313" s="69"/>
    </row>
    <row r="314" ht="14.25" customHeight="1">
      <c r="D314" s="69"/>
      <c r="E314" s="69"/>
    </row>
    <row r="315" ht="14.25" customHeight="1">
      <c r="D315" s="69"/>
      <c r="E315" s="69"/>
    </row>
    <row r="316" ht="14.25" customHeight="1">
      <c r="D316" s="69"/>
      <c r="E316" s="69"/>
    </row>
    <row r="317" ht="14.25" customHeight="1">
      <c r="D317" s="69"/>
      <c r="E317" s="69"/>
    </row>
    <row r="318" ht="14.25" customHeight="1">
      <c r="D318" s="69"/>
      <c r="E318" s="69"/>
    </row>
    <row r="319" ht="14.25" customHeight="1">
      <c r="D319" s="69"/>
      <c r="E319" s="69"/>
    </row>
    <row r="320" ht="14.25" customHeight="1">
      <c r="D320" s="69"/>
      <c r="E320" s="69"/>
    </row>
    <row r="321" ht="14.25" customHeight="1">
      <c r="D321" s="69"/>
      <c r="E321" s="69"/>
    </row>
    <row r="322" ht="14.25" customHeight="1">
      <c r="D322" s="69"/>
      <c r="E322" s="69"/>
    </row>
    <row r="323" ht="14.25" customHeight="1">
      <c r="D323" s="69"/>
      <c r="E323" s="69"/>
    </row>
    <row r="324" ht="14.25" customHeight="1">
      <c r="D324" s="69"/>
      <c r="E324" s="69"/>
    </row>
    <row r="325" ht="14.25" customHeight="1">
      <c r="D325" s="69"/>
      <c r="E325" s="69"/>
    </row>
    <row r="326" ht="14.25" customHeight="1">
      <c r="D326" s="69"/>
      <c r="E326" s="69"/>
    </row>
    <row r="327" ht="14.25" customHeight="1">
      <c r="D327" s="69"/>
      <c r="E327" s="69"/>
    </row>
    <row r="328" ht="14.25" customHeight="1">
      <c r="D328" s="69"/>
      <c r="E328" s="69"/>
    </row>
    <row r="329" ht="14.25" customHeight="1">
      <c r="D329" s="69"/>
      <c r="E329" s="69"/>
    </row>
    <row r="330" ht="14.25" customHeight="1">
      <c r="D330" s="69"/>
      <c r="E330" s="69"/>
    </row>
    <row r="331" ht="14.25" customHeight="1">
      <c r="D331" s="69"/>
      <c r="E331" s="69"/>
    </row>
    <row r="332" ht="14.25" customHeight="1">
      <c r="D332" s="69"/>
      <c r="E332" s="69"/>
    </row>
    <row r="333" ht="14.25" customHeight="1">
      <c r="D333" s="69"/>
      <c r="E333" s="69"/>
    </row>
    <row r="334" ht="14.25" customHeight="1">
      <c r="D334" s="69"/>
      <c r="E334" s="69"/>
    </row>
    <row r="335" ht="14.25" customHeight="1">
      <c r="D335" s="69"/>
      <c r="E335" s="69"/>
    </row>
    <row r="336" ht="14.25" customHeight="1">
      <c r="D336" s="69"/>
      <c r="E336" s="69"/>
    </row>
    <row r="337" ht="14.25" customHeight="1">
      <c r="D337" s="69"/>
      <c r="E337" s="69"/>
    </row>
    <row r="338" ht="14.25" customHeight="1">
      <c r="D338" s="69"/>
      <c r="E338" s="69"/>
    </row>
    <row r="339" ht="14.25" customHeight="1">
      <c r="D339" s="69"/>
      <c r="E339" s="69"/>
    </row>
    <row r="340" ht="14.25" customHeight="1">
      <c r="D340" s="69"/>
      <c r="E340" s="69"/>
    </row>
    <row r="341" ht="14.25" customHeight="1">
      <c r="D341" s="69"/>
      <c r="E341" s="69"/>
    </row>
    <row r="342" ht="14.25" customHeight="1">
      <c r="D342" s="69"/>
      <c r="E342" s="69"/>
    </row>
    <row r="343" ht="14.25" customHeight="1">
      <c r="D343" s="69"/>
      <c r="E343" s="69"/>
    </row>
    <row r="344" ht="14.25" customHeight="1">
      <c r="D344" s="69"/>
      <c r="E344" s="69"/>
    </row>
    <row r="345" ht="14.25" customHeight="1">
      <c r="D345" s="69"/>
      <c r="E345" s="69"/>
    </row>
    <row r="346" ht="14.25" customHeight="1">
      <c r="D346" s="69"/>
      <c r="E346" s="69"/>
    </row>
    <row r="347" ht="14.25" customHeight="1">
      <c r="D347" s="69"/>
      <c r="E347" s="69"/>
    </row>
    <row r="348" ht="14.25" customHeight="1">
      <c r="D348" s="69"/>
      <c r="E348" s="69"/>
    </row>
    <row r="349" ht="14.25" customHeight="1">
      <c r="D349" s="69"/>
      <c r="E349" s="69"/>
    </row>
    <row r="350" ht="14.25" customHeight="1">
      <c r="D350" s="69"/>
      <c r="E350" s="69"/>
    </row>
    <row r="351" ht="14.25" customHeight="1">
      <c r="D351" s="69"/>
      <c r="E351" s="69"/>
    </row>
    <row r="352" ht="14.25" customHeight="1">
      <c r="D352" s="69"/>
      <c r="E352" s="69"/>
    </row>
    <row r="353" ht="14.25" customHeight="1">
      <c r="D353" s="69"/>
      <c r="E353" s="69"/>
    </row>
    <row r="354" ht="14.25" customHeight="1">
      <c r="D354" s="69"/>
      <c r="E354" s="69"/>
    </row>
    <row r="355" ht="14.25" customHeight="1">
      <c r="D355" s="69"/>
      <c r="E355" s="69"/>
    </row>
    <row r="356" ht="14.25" customHeight="1">
      <c r="D356" s="69"/>
      <c r="E356" s="69"/>
    </row>
    <row r="357" ht="14.25" customHeight="1">
      <c r="D357" s="69"/>
      <c r="E357" s="69"/>
    </row>
    <row r="358" ht="14.25" customHeight="1">
      <c r="D358" s="69"/>
      <c r="E358" s="69"/>
    </row>
    <row r="359" ht="14.25" customHeight="1">
      <c r="D359" s="69"/>
      <c r="E359" s="69"/>
    </row>
    <row r="360" ht="14.25" customHeight="1">
      <c r="D360" s="69"/>
      <c r="E360" s="69"/>
    </row>
    <row r="361" ht="14.25" customHeight="1">
      <c r="D361" s="69"/>
      <c r="E361" s="69"/>
    </row>
    <row r="362" ht="14.25" customHeight="1">
      <c r="D362" s="69"/>
      <c r="E362" s="69"/>
    </row>
    <row r="363" ht="14.25" customHeight="1">
      <c r="D363" s="69"/>
      <c r="E363" s="69"/>
    </row>
    <row r="364" ht="14.25" customHeight="1">
      <c r="D364" s="69"/>
      <c r="E364" s="69"/>
    </row>
    <row r="365" ht="14.25" customHeight="1">
      <c r="D365" s="69"/>
      <c r="E365" s="69"/>
    </row>
    <row r="366" ht="14.25" customHeight="1">
      <c r="D366" s="69"/>
      <c r="E366" s="69"/>
    </row>
    <row r="367" ht="14.25" customHeight="1">
      <c r="D367" s="69"/>
      <c r="E367" s="69"/>
    </row>
    <row r="368" ht="14.25" customHeight="1">
      <c r="D368" s="69"/>
      <c r="E368" s="69"/>
    </row>
    <row r="369" ht="14.25" customHeight="1">
      <c r="D369" s="69"/>
      <c r="E369" s="69"/>
    </row>
    <row r="370" ht="14.25" customHeight="1">
      <c r="D370" s="69"/>
      <c r="E370" s="69"/>
    </row>
    <row r="371" ht="14.25" customHeight="1">
      <c r="D371" s="69"/>
      <c r="E371" s="69"/>
    </row>
    <row r="372" ht="14.25" customHeight="1">
      <c r="D372" s="69"/>
      <c r="E372" s="69"/>
    </row>
    <row r="373" ht="14.25" customHeight="1">
      <c r="D373" s="69"/>
      <c r="E373" s="69"/>
    </row>
    <row r="374" ht="14.25" customHeight="1">
      <c r="D374" s="69"/>
      <c r="E374" s="69"/>
    </row>
    <row r="375" ht="14.25" customHeight="1">
      <c r="D375" s="69"/>
      <c r="E375" s="69"/>
    </row>
    <row r="376" ht="14.25" customHeight="1">
      <c r="D376" s="69"/>
      <c r="E376" s="69"/>
    </row>
    <row r="377" ht="14.25" customHeight="1">
      <c r="D377" s="69"/>
      <c r="E377" s="69"/>
    </row>
    <row r="378" ht="14.25" customHeight="1">
      <c r="D378" s="69"/>
      <c r="E378" s="69"/>
    </row>
    <row r="379" ht="14.25" customHeight="1">
      <c r="D379" s="69"/>
      <c r="E379" s="69"/>
    </row>
    <row r="380" ht="14.25" customHeight="1">
      <c r="D380" s="69"/>
      <c r="E380" s="69"/>
    </row>
    <row r="381" ht="14.25" customHeight="1">
      <c r="D381" s="69"/>
      <c r="E381" s="69"/>
    </row>
    <row r="382" ht="14.25" customHeight="1">
      <c r="D382" s="69"/>
      <c r="E382" s="69"/>
    </row>
    <row r="383" ht="14.25" customHeight="1">
      <c r="D383" s="69"/>
      <c r="E383" s="69"/>
    </row>
    <row r="384" ht="14.25" customHeight="1">
      <c r="D384" s="69"/>
      <c r="E384" s="69"/>
    </row>
    <row r="385" ht="14.25" customHeight="1">
      <c r="D385" s="69"/>
      <c r="E385" s="69"/>
    </row>
    <row r="386" ht="14.25" customHeight="1">
      <c r="D386" s="69"/>
      <c r="E386" s="69"/>
    </row>
    <row r="387" ht="14.25" customHeight="1">
      <c r="D387" s="69"/>
      <c r="E387" s="69"/>
    </row>
    <row r="388" ht="14.25" customHeight="1">
      <c r="D388" s="69"/>
      <c r="E388" s="69"/>
    </row>
    <row r="389" ht="14.25" customHeight="1">
      <c r="D389" s="69"/>
      <c r="E389" s="69"/>
    </row>
    <row r="390" ht="14.25" customHeight="1">
      <c r="D390" s="69"/>
      <c r="E390" s="69"/>
    </row>
    <row r="391" ht="14.25" customHeight="1">
      <c r="D391" s="69"/>
      <c r="E391" s="69"/>
    </row>
    <row r="392" ht="14.25" customHeight="1">
      <c r="D392" s="69"/>
      <c r="E392" s="69"/>
    </row>
    <row r="393" ht="14.25" customHeight="1">
      <c r="D393" s="69"/>
      <c r="E393" s="69"/>
    </row>
    <row r="394" ht="14.25" customHeight="1">
      <c r="D394" s="69"/>
      <c r="E394" s="69"/>
    </row>
    <row r="395" ht="14.25" customHeight="1">
      <c r="D395" s="69"/>
      <c r="E395" s="69"/>
    </row>
    <row r="396" ht="14.25" customHeight="1">
      <c r="D396" s="69"/>
      <c r="E396" s="69"/>
    </row>
    <row r="397" ht="14.25" customHeight="1">
      <c r="D397" s="69"/>
      <c r="E397" s="69"/>
    </row>
    <row r="398" ht="14.25" customHeight="1">
      <c r="D398" s="69"/>
      <c r="E398" s="69"/>
    </row>
    <row r="399" ht="14.25" customHeight="1">
      <c r="D399" s="69"/>
      <c r="E399" s="69"/>
    </row>
    <row r="400" ht="14.25" customHeight="1">
      <c r="D400" s="69"/>
      <c r="E400" s="69"/>
    </row>
    <row r="401" ht="14.25" customHeight="1">
      <c r="D401" s="69"/>
      <c r="E401" s="69"/>
    </row>
    <row r="402" ht="14.25" customHeight="1">
      <c r="D402" s="69"/>
      <c r="E402" s="69"/>
    </row>
    <row r="403" ht="14.25" customHeight="1">
      <c r="D403" s="69"/>
      <c r="E403" s="69"/>
    </row>
    <row r="404" ht="14.25" customHeight="1">
      <c r="D404" s="69"/>
      <c r="E404" s="69"/>
    </row>
    <row r="405" ht="14.25" customHeight="1">
      <c r="D405" s="69"/>
      <c r="E405" s="69"/>
    </row>
    <row r="406" ht="14.25" customHeight="1">
      <c r="D406" s="69"/>
      <c r="E406" s="69"/>
    </row>
    <row r="407" ht="14.25" customHeight="1">
      <c r="D407" s="69"/>
      <c r="E407" s="69"/>
    </row>
    <row r="408" ht="14.25" customHeight="1">
      <c r="D408" s="69"/>
      <c r="E408" s="69"/>
    </row>
    <row r="409" ht="14.25" customHeight="1">
      <c r="D409" s="69"/>
      <c r="E409" s="69"/>
    </row>
    <row r="410" ht="14.25" customHeight="1">
      <c r="D410" s="69"/>
      <c r="E410" s="69"/>
    </row>
    <row r="411" ht="14.25" customHeight="1">
      <c r="D411" s="69"/>
      <c r="E411" s="69"/>
    </row>
    <row r="412" ht="14.25" customHeight="1">
      <c r="D412" s="69"/>
      <c r="E412" s="69"/>
    </row>
    <row r="413" ht="14.25" customHeight="1">
      <c r="D413" s="69"/>
      <c r="E413" s="69"/>
    </row>
    <row r="414" ht="14.25" customHeight="1">
      <c r="D414" s="69"/>
      <c r="E414" s="69"/>
    </row>
    <row r="415" ht="14.25" customHeight="1">
      <c r="D415" s="69"/>
      <c r="E415" s="69"/>
    </row>
    <row r="416" ht="14.25" customHeight="1">
      <c r="D416" s="69"/>
      <c r="E416" s="69"/>
    </row>
    <row r="417" ht="14.25" customHeight="1">
      <c r="D417" s="69"/>
      <c r="E417" s="69"/>
    </row>
    <row r="418" ht="14.25" customHeight="1">
      <c r="D418" s="69"/>
      <c r="E418" s="69"/>
    </row>
    <row r="419" ht="14.25" customHeight="1">
      <c r="D419" s="69"/>
      <c r="E419" s="69"/>
    </row>
    <row r="420" ht="14.25" customHeight="1">
      <c r="D420" s="69"/>
      <c r="E420" s="69"/>
    </row>
    <row r="421" ht="14.25" customHeight="1">
      <c r="D421" s="69"/>
      <c r="E421" s="69"/>
    </row>
    <row r="422" ht="14.25" customHeight="1">
      <c r="D422" s="69"/>
      <c r="E422" s="69"/>
    </row>
    <row r="423" ht="14.25" customHeight="1">
      <c r="D423" s="69"/>
      <c r="E423" s="69"/>
    </row>
    <row r="424" ht="14.25" customHeight="1">
      <c r="D424" s="69"/>
      <c r="E424" s="69"/>
    </row>
    <row r="425" ht="14.25" customHeight="1">
      <c r="D425" s="69"/>
      <c r="E425" s="69"/>
    </row>
    <row r="426" ht="14.25" customHeight="1">
      <c r="D426" s="69"/>
      <c r="E426" s="69"/>
    </row>
    <row r="427" ht="14.25" customHeight="1">
      <c r="D427" s="69"/>
      <c r="E427" s="69"/>
    </row>
    <row r="428" ht="14.25" customHeight="1">
      <c r="D428" s="69"/>
      <c r="E428" s="69"/>
    </row>
    <row r="429" ht="14.25" customHeight="1">
      <c r="D429" s="69"/>
      <c r="E429" s="69"/>
    </row>
    <row r="430" ht="14.25" customHeight="1">
      <c r="D430" s="69"/>
      <c r="E430" s="69"/>
    </row>
    <row r="431" ht="14.25" customHeight="1">
      <c r="D431" s="69"/>
      <c r="E431" s="69"/>
    </row>
    <row r="432" ht="14.25" customHeight="1">
      <c r="D432" s="69"/>
      <c r="E432" s="69"/>
    </row>
    <row r="433" ht="14.25" customHeight="1">
      <c r="D433" s="69"/>
      <c r="E433" s="69"/>
    </row>
    <row r="434" ht="14.25" customHeight="1">
      <c r="D434" s="69"/>
      <c r="E434" s="69"/>
    </row>
    <row r="435" ht="14.25" customHeight="1">
      <c r="D435" s="69"/>
      <c r="E435" s="69"/>
    </row>
    <row r="436" ht="14.25" customHeight="1">
      <c r="D436" s="69"/>
      <c r="E436" s="69"/>
    </row>
    <row r="437" ht="14.25" customHeight="1">
      <c r="D437" s="69"/>
      <c r="E437" s="69"/>
    </row>
    <row r="438" ht="14.25" customHeight="1">
      <c r="D438" s="69"/>
      <c r="E438" s="69"/>
    </row>
    <row r="439" ht="14.25" customHeight="1">
      <c r="D439" s="69"/>
      <c r="E439" s="69"/>
    </row>
    <row r="440" ht="14.25" customHeight="1">
      <c r="D440" s="69"/>
      <c r="E440" s="69"/>
    </row>
    <row r="441" ht="14.25" customHeight="1">
      <c r="D441" s="69"/>
      <c r="E441" s="69"/>
    </row>
    <row r="442" ht="14.25" customHeight="1">
      <c r="D442" s="69"/>
      <c r="E442" s="69"/>
    </row>
    <row r="443" ht="14.25" customHeight="1">
      <c r="D443" s="69"/>
      <c r="E443" s="69"/>
    </row>
    <row r="444" ht="14.25" customHeight="1">
      <c r="D444" s="69"/>
      <c r="E444" s="69"/>
    </row>
    <row r="445" ht="14.25" customHeight="1">
      <c r="D445" s="69"/>
      <c r="E445" s="69"/>
    </row>
    <row r="446" ht="14.25" customHeight="1">
      <c r="D446" s="69"/>
      <c r="E446" s="69"/>
    </row>
    <row r="447" ht="14.25" customHeight="1">
      <c r="D447" s="69"/>
      <c r="E447" s="69"/>
    </row>
    <row r="448" ht="14.25" customHeight="1">
      <c r="D448" s="69"/>
      <c r="E448" s="69"/>
    </row>
    <row r="449" ht="14.25" customHeight="1">
      <c r="D449" s="69"/>
      <c r="E449" s="69"/>
    </row>
    <row r="450" ht="14.25" customHeight="1">
      <c r="D450" s="69"/>
      <c r="E450" s="69"/>
    </row>
    <row r="451" ht="14.25" customHeight="1">
      <c r="D451" s="69"/>
      <c r="E451" s="69"/>
    </row>
    <row r="452" ht="14.25" customHeight="1">
      <c r="D452" s="69"/>
      <c r="E452" s="69"/>
    </row>
    <row r="453" ht="14.25" customHeight="1">
      <c r="D453" s="69"/>
      <c r="E453" s="69"/>
    </row>
    <row r="454" ht="14.25" customHeight="1">
      <c r="D454" s="69"/>
      <c r="E454" s="69"/>
    </row>
    <row r="455" ht="14.25" customHeight="1">
      <c r="D455" s="69"/>
      <c r="E455" s="69"/>
    </row>
    <row r="456" ht="14.25" customHeight="1">
      <c r="D456" s="69"/>
      <c r="E456" s="69"/>
    </row>
    <row r="457" ht="14.25" customHeight="1">
      <c r="D457" s="69"/>
      <c r="E457" s="69"/>
    </row>
    <row r="458" ht="14.25" customHeight="1">
      <c r="D458" s="69"/>
      <c r="E458" s="69"/>
    </row>
    <row r="459" ht="14.25" customHeight="1">
      <c r="D459" s="69"/>
      <c r="E459" s="69"/>
    </row>
    <row r="460" ht="14.25" customHeight="1">
      <c r="D460" s="69"/>
      <c r="E460" s="69"/>
    </row>
    <row r="461" ht="14.25" customHeight="1">
      <c r="D461" s="69"/>
      <c r="E461" s="69"/>
    </row>
    <row r="462" ht="14.25" customHeight="1">
      <c r="D462" s="69"/>
      <c r="E462" s="69"/>
    </row>
    <row r="463" ht="14.25" customHeight="1">
      <c r="D463" s="69"/>
      <c r="E463" s="69"/>
    </row>
    <row r="464" ht="14.25" customHeight="1">
      <c r="D464" s="69"/>
      <c r="E464" s="69"/>
    </row>
    <row r="465" ht="14.25" customHeight="1">
      <c r="D465" s="69"/>
      <c r="E465" s="69"/>
    </row>
    <row r="466" ht="14.25" customHeight="1">
      <c r="D466" s="69"/>
      <c r="E466" s="69"/>
    </row>
    <row r="467" ht="14.25" customHeight="1">
      <c r="D467" s="69"/>
      <c r="E467" s="69"/>
    </row>
    <row r="468" ht="14.25" customHeight="1">
      <c r="D468" s="69"/>
      <c r="E468" s="69"/>
    </row>
    <row r="469" ht="14.25" customHeight="1">
      <c r="D469" s="69"/>
      <c r="E469" s="69"/>
    </row>
    <row r="470" ht="14.25" customHeight="1">
      <c r="D470" s="69"/>
      <c r="E470" s="69"/>
    </row>
    <row r="471" ht="14.25" customHeight="1">
      <c r="D471" s="69"/>
      <c r="E471" s="69"/>
    </row>
    <row r="472" ht="14.25" customHeight="1">
      <c r="D472" s="69"/>
      <c r="E472" s="69"/>
    </row>
    <row r="473" ht="14.25" customHeight="1">
      <c r="D473" s="69"/>
      <c r="E473" s="69"/>
    </row>
    <row r="474" ht="14.25" customHeight="1">
      <c r="D474" s="69"/>
      <c r="E474" s="69"/>
    </row>
    <row r="475" ht="14.25" customHeight="1">
      <c r="D475" s="69"/>
      <c r="E475" s="69"/>
    </row>
    <row r="476" ht="14.25" customHeight="1">
      <c r="D476" s="69"/>
      <c r="E476" s="69"/>
    </row>
    <row r="477" ht="14.25" customHeight="1">
      <c r="D477" s="69"/>
      <c r="E477" s="69"/>
    </row>
    <row r="478" ht="14.25" customHeight="1">
      <c r="D478" s="69"/>
      <c r="E478" s="69"/>
    </row>
    <row r="479" ht="14.25" customHeight="1">
      <c r="D479" s="69"/>
      <c r="E479" s="69"/>
    </row>
    <row r="480" ht="14.25" customHeight="1">
      <c r="D480" s="69"/>
      <c r="E480" s="69"/>
    </row>
    <row r="481" ht="14.25" customHeight="1">
      <c r="D481" s="69"/>
      <c r="E481" s="69"/>
    </row>
    <row r="482" ht="14.25" customHeight="1">
      <c r="D482" s="69"/>
      <c r="E482" s="69"/>
    </row>
    <row r="483" ht="14.25" customHeight="1">
      <c r="D483" s="69"/>
      <c r="E483" s="69"/>
    </row>
    <row r="484" ht="14.25" customHeight="1">
      <c r="D484" s="69"/>
      <c r="E484" s="69"/>
    </row>
    <row r="485" ht="14.25" customHeight="1">
      <c r="D485" s="69"/>
      <c r="E485" s="69"/>
    </row>
    <row r="486" ht="14.25" customHeight="1">
      <c r="D486" s="69"/>
      <c r="E486" s="69"/>
    </row>
    <row r="487" ht="14.25" customHeight="1">
      <c r="D487" s="69"/>
      <c r="E487" s="69"/>
    </row>
    <row r="488" ht="14.25" customHeight="1">
      <c r="D488" s="69"/>
      <c r="E488" s="69"/>
    </row>
    <row r="489" ht="14.25" customHeight="1">
      <c r="D489" s="69"/>
      <c r="E489" s="69"/>
    </row>
    <row r="490" ht="14.25" customHeight="1">
      <c r="D490" s="69"/>
      <c r="E490" s="69"/>
    </row>
    <row r="491" ht="14.25" customHeight="1">
      <c r="D491" s="69"/>
      <c r="E491" s="69"/>
    </row>
    <row r="492" ht="14.25" customHeight="1">
      <c r="D492" s="69"/>
      <c r="E492" s="69"/>
    </row>
    <row r="493" ht="14.25" customHeight="1">
      <c r="D493" s="69"/>
      <c r="E493" s="69"/>
    </row>
    <row r="494" ht="14.25" customHeight="1">
      <c r="D494" s="69"/>
      <c r="E494" s="69"/>
    </row>
    <row r="495" ht="14.25" customHeight="1">
      <c r="D495" s="69"/>
      <c r="E495" s="69"/>
    </row>
    <row r="496" ht="14.25" customHeight="1">
      <c r="D496" s="69"/>
      <c r="E496" s="69"/>
    </row>
    <row r="497" ht="14.25" customHeight="1">
      <c r="D497" s="69"/>
      <c r="E497" s="69"/>
    </row>
    <row r="498" ht="14.25" customHeight="1">
      <c r="D498" s="69"/>
      <c r="E498" s="69"/>
    </row>
    <row r="499" ht="14.25" customHeight="1">
      <c r="D499" s="69"/>
      <c r="E499" s="69"/>
    </row>
    <row r="500" ht="14.25" customHeight="1">
      <c r="D500" s="69"/>
      <c r="E500" s="69"/>
    </row>
    <row r="501" ht="14.25" customHeight="1">
      <c r="D501" s="69"/>
      <c r="E501" s="69"/>
    </row>
    <row r="502" ht="14.25" customHeight="1">
      <c r="D502" s="69"/>
      <c r="E502" s="69"/>
    </row>
    <row r="503" ht="14.25" customHeight="1">
      <c r="D503" s="69"/>
      <c r="E503" s="69"/>
    </row>
    <row r="504" ht="14.25" customHeight="1">
      <c r="D504" s="69"/>
      <c r="E504" s="69"/>
    </row>
    <row r="505" ht="14.25" customHeight="1">
      <c r="D505" s="69"/>
      <c r="E505" s="69"/>
    </row>
    <row r="506" ht="14.25" customHeight="1">
      <c r="D506" s="69"/>
      <c r="E506" s="69"/>
    </row>
    <row r="507" ht="14.25" customHeight="1">
      <c r="D507" s="69"/>
      <c r="E507" s="69"/>
    </row>
    <row r="508" ht="14.25" customHeight="1">
      <c r="D508" s="69"/>
      <c r="E508" s="69"/>
    </row>
    <row r="509" ht="14.25" customHeight="1">
      <c r="D509" s="69"/>
      <c r="E509" s="69"/>
    </row>
    <row r="510" ht="14.25" customHeight="1">
      <c r="D510" s="69"/>
      <c r="E510" s="69"/>
    </row>
    <row r="511" ht="14.25" customHeight="1">
      <c r="D511" s="69"/>
      <c r="E511" s="69"/>
    </row>
    <row r="512" ht="14.25" customHeight="1">
      <c r="D512" s="69"/>
      <c r="E512" s="69"/>
    </row>
    <row r="513" ht="14.25" customHeight="1">
      <c r="D513" s="69"/>
      <c r="E513" s="69"/>
    </row>
    <row r="514" ht="14.25" customHeight="1">
      <c r="D514" s="69"/>
      <c r="E514" s="69"/>
    </row>
    <row r="515" ht="14.25" customHeight="1">
      <c r="D515" s="69"/>
      <c r="E515" s="69"/>
    </row>
    <row r="516" ht="14.25" customHeight="1">
      <c r="D516" s="69"/>
      <c r="E516" s="69"/>
    </row>
    <row r="517" ht="14.25" customHeight="1">
      <c r="D517" s="69"/>
      <c r="E517" s="69"/>
    </row>
    <row r="518" ht="14.25" customHeight="1">
      <c r="D518" s="69"/>
      <c r="E518" s="69"/>
    </row>
    <row r="519" ht="14.25" customHeight="1">
      <c r="D519" s="69"/>
      <c r="E519" s="69"/>
    </row>
    <row r="520" ht="14.25" customHeight="1">
      <c r="D520" s="69"/>
      <c r="E520" s="69"/>
    </row>
    <row r="521" ht="14.25" customHeight="1">
      <c r="D521" s="69"/>
      <c r="E521" s="69"/>
    </row>
    <row r="522" ht="14.25" customHeight="1">
      <c r="D522" s="69"/>
      <c r="E522" s="69"/>
    </row>
    <row r="523" ht="14.25" customHeight="1">
      <c r="D523" s="69"/>
      <c r="E523" s="69"/>
    </row>
    <row r="524" ht="14.25" customHeight="1">
      <c r="D524" s="69"/>
      <c r="E524" s="69"/>
    </row>
    <row r="525" ht="14.25" customHeight="1">
      <c r="D525" s="69"/>
      <c r="E525" s="69"/>
    </row>
    <row r="526" ht="14.25" customHeight="1">
      <c r="D526" s="69"/>
      <c r="E526" s="69"/>
    </row>
    <row r="527" ht="14.25" customHeight="1">
      <c r="D527" s="69"/>
      <c r="E527" s="69"/>
    </row>
    <row r="528" ht="14.25" customHeight="1">
      <c r="D528" s="69"/>
      <c r="E528" s="69"/>
    </row>
    <row r="529" ht="14.25" customHeight="1">
      <c r="D529" s="69"/>
      <c r="E529" s="69"/>
    </row>
    <row r="530" ht="14.25" customHeight="1">
      <c r="D530" s="69"/>
      <c r="E530" s="69"/>
    </row>
    <row r="531" ht="14.25" customHeight="1">
      <c r="D531" s="69"/>
      <c r="E531" s="69"/>
    </row>
    <row r="532" ht="14.25" customHeight="1">
      <c r="D532" s="69"/>
      <c r="E532" s="69"/>
    </row>
    <row r="533" ht="14.25" customHeight="1">
      <c r="D533" s="69"/>
      <c r="E533" s="69"/>
    </row>
    <row r="534" ht="14.25" customHeight="1">
      <c r="D534" s="69"/>
      <c r="E534" s="69"/>
    </row>
    <row r="535" ht="14.25" customHeight="1">
      <c r="D535" s="69"/>
      <c r="E535" s="69"/>
    </row>
    <row r="536" ht="14.25" customHeight="1">
      <c r="D536" s="69"/>
      <c r="E536" s="69"/>
    </row>
    <row r="537" ht="14.25" customHeight="1">
      <c r="D537" s="69"/>
      <c r="E537" s="69"/>
    </row>
    <row r="538" ht="14.25" customHeight="1">
      <c r="D538" s="69"/>
      <c r="E538" s="69"/>
    </row>
    <row r="539" ht="14.25" customHeight="1">
      <c r="D539" s="69"/>
      <c r="E539" s="69"/>
    </row>
    <row r="540" ht="14.25" customHeight="1">
      <c r="D540" s="69"/>
      <c r="E540" s="69"/>
    </row>
    <row r="541" ht="14.25" customHeight="1">
      <c r="D541" s="69"/>
      <c r="E541" s="69"/>
    </row>
    <row r="542" ht="14.25" customHeight="1">
      <c r="D542" s="69"/>
      <c r="E542" s="69"/>
    </row>
    <row r="543" ht="14.25" customHeight="1">
      <c r="D543" s="69"/>
      <c r="E543" s="69"/>
    </row>
    <row r="544" ht="14.25" customHeight="1">
      <c r="D544" s="69"/>
      <c r="E544" s="69"/>
    </row>
    <row r="545" ht="14.25" customHeight="1">
      <c r="D545" s="69"/>
      <c r="E545" s="69"/>
    </row>
    <row r="546" ht="14.25" customHeight="1">
      <c r="D546" s="69"/>
      <c r="E546" s="69"/>
    </row>
    <row r="547" ht="14.25" customHeight="1">
      <c r="D547" s="69"/>
      <c r="E547" s="69"/>
    </row>
    <row r="548" ht="14.25" customHeight="1">
      <c r="D548" s="69"/>
      <c r="E548" s="69"/>
    </row>
    <row r="549" ht="14.25" customHeight="1">
      <c r="D549" s="69"/>
      <c r="E549" s="69"/>
    </row>
    <row r="550" ht="14.25" customHeight="1">
      <c r="D550" s="69"/>
      <c r="E550" s="69"/>
    </row>
    <row r="551" ht="14.25" customHeight="1">
      <c r="D551" s="69"/>
      <c r="E551" s="69"/>
    </row>
    <row r="552" ht="14.25" customHeight="1">
      <c r="D552" s="69"/>
      <c r="E552" s="69"/>
    </row>
    <row r="553" ht="14.25" customHeight="1">
      <c r="D553" s="69"/>
      <c r="E553" s="69"/>
    </row>
    <row r="554" ht="14.25" customHeight="1">
      <c r="D554" s="69"/>
      <c r="E554" s="69"/>
    </row>
    <row r="555" ht="14.25" customHeight="1">
      <c r="D555" s="69"/>
      <c r="E555" s="69"/>
    </row>
    <row r="556" ht="14.25" customHeight="1">
      <c r="D556" s="69"/>
      <c r="E556" s="69"/>
    </row>
    <row r="557" ht="14.25" customHeight="1">
      <c r="D557" s="69"/>
      <c r="E557" s="69"/>
    </row>
    <row r="558" ht="14.25" customHeight="1">
      <c r="D558" s="69"/>
      <c r="E558" s="69"/>
    </row>
    <row r="559" ht="14.25" customHeight="1">
      <c r="D559" s="69"/>
      <c r="E559" s="69"/>
    </row>
    <row r="560" ht="14.25" customHeight="1">
      <c r="D560" s="69"/>
      <c r="E560" s="69"/>
    </row>
    <row r="561" ht="14.25" customHeight="1">
      <c r="D561" s="69"/>
      <c r="E561" s="69"/>
    </row>
    <row r="562" ht="14.25" customHeight="1">
      <c r="D562" s="69"/>
      <c r="E562" s="69"/>
    </row>
    <row r="563" ht="14.25" customHeight="1">
      <c r="D563" s="69"/>
      <c r="E563" s="69"/>
    </row>
    <row r="564" ht="14.25" customHeight="1">
      <c r="D564" s="69"/>
      <c r="E564" s="69"/>
    </row>
    <row r="565" ht="14.25" customHeight="1">
      <c r="D565" s="69"/>
      <c r="E565" s="69"/>
    </row>
    <row r="566" ht="14.25" customHeight="1">
      <c r="D566" s="69"/>
      <c r="E566" s="69"/>
    </row>
    <row r="567" ht="14.25" customHeight="1">
      <c r="D567" s="69"/>
      <c r="E567" s="69"/>
    </row>
    <row r="568" ht="14.25" customHeight="1">
      <c r="D568" s="69"/>
      <c r="E568" s="69"/>
    </row>
    <row r="569" ht="14.25" customHeight="1">
      <c r="D569" s="69"/>
      <c r="E569" s="69"/>
    </row>
    <row r="570" ht="14.25" customHeight="1">
      <c r="D570" s="69"/>
      <c r="E570" s="69"/>
    </row>
    <row r="571" ht="14.25" customHeight="1">
      <c r="D571" s="69"/>
      <c r="E571" s="69"/>
    </row>
    <row r="572" ht="14.25" customHeight="1">
      <c r="D572" s="69"/>
      <c r="E572" s="69"/>
    </row>
    <row r="573" ht="14.25" customHeight="1">
      <c r="D573" s="69"/>
      <c r="E573" s="69"/>
    </row>
    <row r="574" ht="14.25" customHeight="1">
      <c r="D574" s="69"/>
      <c r="E574" s="69"/>
    </row>
    <row r="575" ht="14.25" customHeight="1">
      <c r="D575" s="69"/>
      <c r="E575" s="69"/>
    </row>
    <row r="576" ht="14.25" customHeight="1">
      <c r="D576" s="69"/>
      <c r="E576" s="69"/>
    </row>
    <row r="577" ht="14.25" customHeight="1">
      <c r="D577" s="69"/>
      <c r="E577" s="69"/>
    </row>
    <row r="578" ht="14.25" customHeight="1">
      <c r="D578" s="69"/>
      <c r="E578" s="69"/>
    </row>
    <row r="579" ht="14.25" customHeight="1">
      <c r="D579" s="69"/>
      <c r="E579" s="69"/>
    </row>
    <row r="580" ht="14.25" customHeight="1">
      <c r="D580" s="69"/>
      <c r="E580" s="69"/>
    </row>
    <row r="581" ht="14.25" customHeight="1">
      <c r="D581" s="69"/>
      <c r="E581" s="69"/>
    </row>
    <row r="582" ht="14.25" customHeight="1">
      <c r="D582" s="69"/>
      <c r="E582" s="69"/>
    </row>
    <row r="583" ht="14.25" customHeight="1">
      <c r="D583" s="69"/>
      <c r="E583" s="69"/>
    </row>
    <row r="584" ht="14.25" customHeight="1">
      <c r="D584" s="69"/>
      <c r="E584" s="69"/>
    </row>
    <row r="585" ht="14.25" customHeight="1">
      <c r="D585" s="69"/>
      <c r="E585" s="69"/>
    </row>
    <row r="586" ht="14.25" customHeight="1">
      <c r="D586" s="69"/>
      <c r="E586" s="69"/>
    </row>
    <row r="587" ht="14.25" customHeight="1">
      <c r="D587" s="69"/>
      <c r="E587" s="69"/>
    </row>
    <row r="588" ht="14.25" customHeight="1">
      <c r="D588" s="69"/>
      <c r="E588" s="69"/>
    </row>
    <row r="589" ht="14.25" customHeight="1">
      <c r="D589" s="69"/>
      <c r="E589" s="69"/>
    </row>
    <row r="590" ht="14.25" customHeight="1">
      <c r="D590" s="69"/>
      <c r="E590" s="69"/>
    </row>
    <row r="591" ht="14.25" customHeight="1">
      <c r="D591" s="69"/>
      <c r="E591" s="69"/>
    </row>
    <row r="592" ht="14.25" customHeight="1">
      <c r="D592" s="69"/>
      <c r="E592" s="69"/>
    </row>
    <row r="593" ht="14.25" customHeight="1">
      <c r="D593" s="69"/>
      <c r="E593" s="69"/>
    </row>
    <row r="594" ht="14.25" customHeight="1">
      <c r="D594" s="69"/>
      <c r="E594" s="69"/>
    </row>
    <row r="595" ht="14.25" customHeight="1">
      <c r="D595" s="69"/>
      <c r="E595" s="69"/>
    </row>
    <row r="596" ht="14.25" customHeight="1">
      <c r="D596" s="69"/>
      <c r="E596" s="69"/>
    </row>
    <row r="597" ht="14.25" customHeight="1">
      <c r="D597" s="69"/>
      <c r="E597" s="69"/>
    </row>
    <row r="598" ht="14.25" customHeight="1">
      <c r="D598" s="69"/>
      <c r="E598" s="69"/>
    </row>
    <row r="599" ht="14.25" customHeight="1">
      <c r="D599" s="69"/>
      <c r="E599" s="69"/>
    </row>
    <row r="600" ht="14.25" customHeight="1">
      <c r="D600" s="69"/>
      <c r="E600" s="69"/>
    </row>
    <row r="601" ht="14.25" customHeight="1">
      <c r="D601" s="69"/>
      <c r="E601" s="69"/>
    </row>
    <row r="602" ht="14.25" customHeight="1">
      <c r="D602" s="69"/>
      <c r="E602" s="69"/>
    </row>
    <row r="603" ht="14.25" customHeight="1">
      <c r="D603" s="69"/>
      <c r="E603" s="69"/>
    </row>
    <row r="604" ht="14.25" customHeight="1">
      <c r="D604" s="69"/>
      <c r="E604" s="69"/>
    </row>
    <row r="605" ht="14.25" customHeight="1">
      <c r="D605" s="69"/>
      <c r="E605" s="69"/>
    </row>
    <row r="606" ht="14.25" customHeight="1">
      <c r="D606" s="69"/>
      <c r="E606" s="69"/>
    </row>
    <row r="607" ht="14.25" customHeight="1">
      <c r="D607" s="69"/>
      <c r="E607" s="69"/>
    </row>
    <row r="608" ht="14.25" customHeight="1">
      <c r="D608" s="69"/>
      <c r="E608" s="69"/>
    </row>
    <row r="609" ht="14.25" customHeight="1">
      <c r="D609" s="69"/>
      <c r="E609" s="69"/>
    </row>
    <row r="610" ht="14.25" customHeight="1">
      <c r="D610" s="69"/>
      <c r="E610" s="69"/>
    </row>
    <row r="611" ht="14.25" customHeight="1">
      <c r="D611" s="69"/>
      <c r="E611" s="69"/>
    </row>
    <row r="612" ht="14.25" customHeight="1">
      <c r="D612" s="69"/>
      <c r="E612" s="69"/>
    </row>
    <row r="613" ht="14.25" customHeight="1">
      <c r="D613" s="69"/>
      <c r="E613" s="69"/>
    </row>
    <row r="614" ht="14.25" customHeight="1">
      <c r="D614" s="69"/>
      <c r="E614" s="69"/>
    </row>
    <row r="615" ht="14.25" customHeight="1">
      <c r="D615" s="69"/>
      <c r="E615" s="69"/>
    </row>
    <row r="616" ht="14.25" customHeight="1">
      <c r="D616" s="69"/>
      <c r="E616" s="69"/>
    </row>
    <row r="617" ht="14.25" customHeight="1">
      <c r="D617" s="69"/>
      <c r="E617" s="69"/>
    </row>
    <row r="618" ht="14.25" customHeight="1">
      <c r="D618" s="69"/>
      <c r="E618" s="69"/>
    </row>
    <row r="619" ht="14.25" customHeight="1">
      <c r="D619" s="69"/>
      <c r="E619" s="69"/>
    </row>
    <row r="620" ht="14.25" customHeight="1">
      <c r="D620" s="69"/>
      <c r="E620" s="69"/>
    </row>
    <row r="621" ht="14.25" customHeight="1">
      <c r="D621" s="69"/>
      <c r="E621" s="69"/>
    </row>
    <row r="622" ht="14.25" customHeight="1">
      <c r="D622" s="69"/>
      <c r="E622" s="69"/>
    </row>
    <row r="623" ht="14.25" customHeight="1">
      <c r="D623" s="69"/>
      <c r="E623" s="69"/>
    </row>
    <row r="624" ht="14.25" customHeight="1">
      <c r="D624" s="69"/>
      <c r="E624" s="69"/>
    </row>
    <row r="625" ht="14.25" customHeight="1">
      <c r="D625" s="69"/>
      <c r="E625" s="69"/>
    </row>
    <row r="626" ht="14.25" customHeight="1">
      <c r="D626" s="69"/>
      <c r="E626" s="69"/>
    </row>
    <row r="627" ht="14.25" customHeight="1">
      <c r="D627" s="69"/>
      <c r="E627" s="69"/>
    </row>
    <row r="628" ht="14.25" customHeight="1">
      <c r="D628" s="69"/>
      <c r="E628" s="69"/>
    </row>
    <row r="629" ht="14.25" customHeight="1">
      <c r="D629" s="69"/>
      <c r="E629" s="69"/>
    </row>
    <row r="630" ht="14.25" customHeight="1">
      <c r="D630" s="69"/>
      <c r="E630" s="69"/>
    </row>
    <row r="631" ht="14.25" customHeight="1">
      <c r="D631" s="69"/>
      <c r="E631" s="69"/>
    </row>
    <row r="632" ht="14.25" customHeight="1">
      <c r="D632" s="69"/>
      <c r="E632" s="69"/>
    </row>
    <row r="633" ht="14.25" customHeight="1">
      <c r="D633" s="69"/>
      <c r="E633" s="69"/>
    </row>
    <row r="634" ht="14.25" customHeight="1">
      <c r="D634" s="69"/>
      <c r="E634" s="69"/>
    </row>
    <row r="635" ht="14.25" customHeight="1">
      <c r="D635" s="69"/>
      <c r="E635" s="69"/>
    </row>
    <row r="636" ht="14.25" customHeight="1">
      <c r="D636" s="69"/>
      <c r="E636" s="69"/>
    </row>
    <row r="637" ht="14.25" customHeight="1">
      <c r="D637" s="69"/>
      <c r="E637" s="69"/>
    </row>
    <row r="638" ht="14.25" customHeight="1">
      <c r="D638" s="69"/>
      <c r="E638" s="69"/>
    </row>
    <row r="639" ht="14.25" customHeight="1">
      <c r="D639" s="69"/>
      <c r="E639" s="69"/>
    </row>
    <row r="640" ht="14.25" customHeight="1">
      <c r="D640" s="69"/>
      <c r="E640" s="69"/>
    </row>
    <row r="641" ht="14.25" customHeight="1">
      <c r="D641" s="69"/>
      <c r="E641" s="69"/>
    </row>
    <row r="642" ht="14.25" customHeight="1">
      <c r="D642" s="69"/>
      <c r="E642" s="69"/>
    </row>
    <row r="643" ht="14.25" customHeight="1">
      <c r="D643" s="69"/>
      <c r="E643" s="69"/>
    </row>
    <row r="644" ht="14.25" customHeight="1">
      <c r="D644" s="69"/>
      <c r="E644" s="69"/>
    </row>
    <row r="645" ht="14.25" customHeight="1">
      <c r="D645" s="69"/>
      <c r="E645" s="69"/>
    </row>
    <row r="646" ht="14.25" customHeight="1">
      <c r="D646" s="69"/>
      <c r="E646" s="69"/>
    </row>
    <row r="647" ht="14.25" customHeight="1">
      <c r="D647" s="69"/>
      <c r="E647" s="69"/>
    </row>
    <row r="648" ht="14.25" customHeight="1">
      <c r="D648" s="69"/>
      <c r="E648" s="69"/>
    </row>
    <row r="649" ht="14.25" customHeight="1">
      <c r="D649" s="69"/>
      <c r="E649" s="69"/>
    </row>
    <row r="650" ht="14.25" customHeight="1">
      <c r="D650" s="69"/>
      <c r="E650" s="69"/>
    </row>
    <row r="651" ht="14.25" customHeight="1">
      <c r="D651" s="69"/>
      <c r="E651" s="69"/>
    </row>
    <row r="652" ht="14.25" customHeight="1">
      <c r="D652" s="69"/>
      <c r="E652" s="69"/>
    </row>
    <row r="653" ht="14.25" customHeight="1">
      <c r="D653" s="69"/>
      <c r="E653" s="69"/>
    </row>
    <row r="654" ht="14.25" customHeight="1">
      <c r="D654" s="69"/>
      <c r="E654" s="69"/>
    </row>
    <row r="655" ht="14.25" customHeight="1">
      <c r="D655" s="69"/>
      <c r="E655" s="69"/>
    </row>
    <row r="656" ht="14.25" customHeight="1">
      <c r="D656" s="69"/>
      <c r="E656" s="69"/>
    </row>
    <row r="657" ht="14.25" customHeight="1">
      <c r="D657" s="69"/>
      <c r="E657" s="69"/>
    </row>
    <row r="658" ht="14.25" customHeight="1">
      <c r="D658" s="69"/>
      <c r="E658" s="69"/>
    </row>
    <row r="659" ht="14.25" customHeight="1">
      <c r="D659" s="69"/>
      <c r="E659" s="69"/>
    </row>
    <row r="660" ht="14.25" customHeight="1">
      <c r="D660" s="69"/>
      <c r="E660" s="69"/>
    </row>
    <row r="661" ht="14.25" customHeight="1">
      <c r="D661" s="69"/>
      <c r="E661" s="69"/>
    </row>
    <row r="662" ht="14.25" customHeight="1">
      <c r="D662" s="69"/>
      <c r="E662" s="69"/>
    </row>
    <row r="663" ht="14.25" customHeight="1">
      <c r="D663" s="69"/>
      <c r="E663" s="69"/>
    </row>
    <row r="664" ht="14.25" customHeight="1">
      <c r="D664" s="69"/>
      <c r="E664" s="69"/>
    </row>
    <row r="665" ht="14.25" customHeight="1">
      <c r="D665" s="69"/>
      <c r="E665" s="69"/>
    </row>
    <row r="666" ht="14.25" customHeight="1">
      <c r="D666" s="69"/>
      <c r="E666" s="69"/>
    </row>
    <row r="667" ht="14.25" customHeight="1">
      <c r="D667" s="69"/>
      <c r="E667" s="69"/>
    </row>
    <row r="668" ht="14.25" customHeight="1">
      <c r="D668" s="69"/>
      <c r="E668" s="69"/>
    </row>
    <row r="669" ht="14.25" customHeight="1">
      <c r="D669" s="69"/>
      <c r="E669" s="69"/>
    </row>
    <row r="670" ht="14.25" customHeight="1">
      <c r="D670" s="69"/>
      <c r="E670" s="69"/>
    </row>
    <row r="671" ht="14.25" customHeight="1">
      <c r="D671" s="69"/>
      <c r="E671" s="69"/>
    </row>
    <row r="672" ht="14.25" customHeight="1">
      <c r="D672" s="69"/>
      <c r="E672" s="69"/>
    </row>
    <row r="673" ht="14.25" customHeight="1">
      <c r="D673" s="69"/>
      <c r="E673" s="69"/>
    </row>
    <row r="674" ht="14.25" customHeight="1">
      <c r="D674" s="69"/>
      <c r="E674" s="69"/>
    </row>
    <row r="675" ht="14.25" customHeight="1">
      <c r="D675" s="69"/>
      <c r="E675" s="69"/>
    </row>
    <row r="676" ht="14.25" customHeight="1">
      <c r="D676" s="69"/>
      <c r="E676" s="69"/>
    </row>
    <row r="677" ht="14.25" customHeight="1">
      <c r="D677" s="69"/>
      <c r="E677" s="69"/>
    </row>
    <row r="678" ht="14.25" customHeight="1">
      <c r="D678" s="69"/>
      <c r="E678" s="69"/>
    </row>
    <row r="679" ht="14.25" customHeight="1">
      <c r="D679" s="69"/>
      <c r="E679" s="69"/>
    </row>
    <row r="680" ht="14.25" customHeight="1">
      <c r="D680" s="69"/>
      <c r="E680" s="69"/>
    </row>
    <row r="681" ht="14.25" customHeight="1">
      <c r="D681" s="69"/>
      <c r="E681" s="69"/>
    </row>
    <row r="682" ht="14.25" customHeight="1">
      <c r="D682" s="69"/>
      <c r="E682" s="69"/>
    </row>
    <row r="683" ht="14.25" customHeight="1">
      <c r="D683" s="69"/>
      <c r="E683" s="69"/>
    </row>
    <row r="684" ht="14.25" customHeight="1">
      <c r="D684" s="69"/>
      <c r="E684" s="69"/>
    </row>
    <row r="685" ht="14.25" customHeight="1">
      <c r="D685" s="69"/>
      <c r="E685" s="69"/>
    </row>
    <row r="686" ht="14.25" customHeight="1">
      <c r="D686" s="69"/>
      <c r="E686" s="69"/>
    </row>
    <row r="687" ht="14.25" customHeight="1">
      <c r="D687" s="69"/>
      <c r="E687" s="69"/>
    </row>
    <row r="688" ht="14.25" customHeight="1">
      <c r="D688" s="69"/>
      <c r="E688" s="69"/>
    </row>
    <row r="689" ht="14.25" customHeight="1">
      <c r="D689" s="69"/>
      <c r="E689" s="69"/>
    </row>
    <row r="690" ht="14.25" customHeight="1">
      <c r="D690" s="69"/>
      <c r="E690" s="69"/>
    </row>
    <row r="691" ht="14.25" customHeight="1">
      <c r="D691" s="69"/>
      <c r="E691" s="69"/>
    </row>
    <row r="692" ht="14.25" customHeight="1">
      <c r="D692" s="69"/>
      <c r="E692" s="69"/>
    </row>
    <row r="693" ht="14.25" customHeight="1">
      <c r="D693" s="69"/>
      <c r="E693" s="69"/>
    </row>
    <row r="694" ht="14.25" customHeight="1">
      <c r="D694" s="69"/>
      <c r="E694" s="69"/>
    </row>
    <row r="695" ht="14.25" customHeight="1">
      <c r="D695" s="69"/>
      <c r="E695" s="69"/>
    </row>
    <row r="696" ht="14.25" customHeight="1">
      <c r="D696" s="69"/>
      <c r="E696" s="69"/>
    </row>
    <row r="697" ht="14.25" customHeight="1">
      <c r="D697" s="69"/>
      <c r="E697" s="69"/>
    </row>
    <row r="698" ht="14.25" customHeight="1">
      <c r="D698" s="69"/>
      <c r="E698" s="69"/>
    </row>
    <row r="699" ht="14.25" customHeight="1">
      <c r="D699" s="69"/>
      <c r="E699" s="69"/>
    </row>
    <row r="700" ht="14.25" customHeight="1">
      <c r="D700" s="69"/>
      <c r="E700" s="69"/>
    </row>
    <row r="701" ht="14.25" customHeight="1">
      <c r="D701" s="69"/>
      <c r="E701" s="69"/>
    </row>
    <row r="702" ht="14.25" customHeight="1">
      <c r="D702" s="69"/>
      <c r="E702" s="69"/>
    </row>
    <row r="703" ht="14.25" customHeight="1">
      <c r="D703" s="69"/>
      <c r="E703" s="69"/>
    </row>
    <row r="704" ht="14.25" customHeight="1">
      <c r="D704" s="69"/>
      <c r="E704" s="69"/>
    </row>
    <row r="705" ht="14.25" customHeight="1">
      <c r="D705" s="69"/>
      <c r="E705" s="69"/>
    </row>
    <row r="706" ht="14.25" customHeight="1">
      <c r="D706" s="69"/>
      <c r="E706" s="69"/>
    </row>
    <row r="707" ht="14.25" customHeight="1">
      <c r="D707" s="69"/>
      <c r="E707" s="69"/>
    </row>
    <row r="708" ht="14.25" customHeight="1">
      <c r="D708" s="69"/>
      <c r="E708" s="69"/>
    </row>
    <row r="709" ht="14.25" customHeight="1">
      <c r="D709" s="69"/>
      <c r="E709" s="69"/>
    </row>
    <row r="710" ht="14.25" customHeight="1">
      <c r="D710" s="69"/>
      <c r="E710" s="69"/>
    </row>
    <row r="711" ht="14.25" customHeight="1">
      <c r="D711" s="69"/>
      <c r="E711" s="69"/>
    </row>
    <row r="712" ht="14.25" customHeight="1">
      <c r="D712" s="69"/>
      <c r="E712" s="69"/>
    </row>
    <row r="713" ht="14.25" customHeight="1">
      <c r="D713" s="69"/>
      <c r="E713" s="69"/>
    </row>
    <row r="714" ht="14.25" customHeight="1">
      <c r="D714" s="69"/>
      <c r="E714" s="69"/>
    </row>
    <row r="715" ht="14.25" customHeight="1">
      <c r="D715" s="69"/>
      <c r="E715" s="69"/>
    </row>
    <row r="716" ht="14.25" customHeight="1">
      <c r="D716" s="69"/>
      <c r="E716" s="69"/>
    </row>
    <row r="717" ht="14.25" customHeight="1">
      <c r="D717" s="69"/>
      <c r="E717" s="69"/>
    </row>
    <row r="718" ht="14.25" customHeight="1">
      <c r="D718" s="69"/>
      <c r="E718" s="69"/>
    </row>
    <row r="719" ht="14.25" customHeight="1">
      <c r="D719" s="69"/>
      <c r="E719" s="69"/>
    </row>
    <row r="720" ht="14.25" customHeight="1">
      <c r="D720" s="69"/>
      <c r="E720" s="69"/>
    </row>
    <row r="721" ht="14.25" customHeight="1">
      <c r="D721" s="69"/>
      <c r="E721" s="69"/>
    </row>
    <row r="722" ht="14.25" customHeight="1">
      <c r="D722" s="69"/>
      <c r="E722" s="69"/>
    </row>
    <row r="723" ht="14.25" customHeight="1">
      <c r="D723" s="69"/>
      <c r="E723" s="69"/>
    </row>
    <row r="724" ht="14.25" customHeight="1">
      <c r="D724" s="69"/>
      <c r="E724" s="69"/>
    </row>
    <row r="725" ht="14.25" customHeight="1">
      <c r="D725" s="69"/>
      <c r="E725" s="69"/>
    </row>
    <row r="726" ht="14.25" customHeight="1">
      <c r="D726" s="69"/>
      <c r="E726" s="69"/>
    </row>
    <row r="727" ht="14.25" customHeight="1">
      <c r="D727" s="69"/>
      <c r="E727" s="69"/>
    </row>
    <row r="728" ht="14.25" customHeight="1">
      <c r="D728" s="69"/>
      <c r="E728" s="69"/>
    </row>
    <row r="729" ht="14.25" customHeight="1">
      <c r="D729" s="69"/>
      <c r="E729" s="69"/>
    </row>
    <row r="730" ht="14.25" customHeight="1">
      <c r="D730" s="69"/>
      <c r="E730" s="69"/>
    </row>
    <row r="731" ht="14.25" customHeight="1">
      <c r="D731" s="69"/>
      <c r="E731" s="69"/>
    </row>
    <row r="732" ht="14.25" customHeight="1">
      <c r="D732" s="69"/>
      <c r="E732" s="69"/>
    </row>
    <row r="733" ht="14.25" customHeight="1">
      <c r="D733" s="69"/>
      <c r="E733" s="69"/>
    </row>
    <row r="734" ht="14.25" customHeight="1">
      <c r="D734" s="69"/>
      <c r="E734" s="69"/>
    </row>
    <row r="735" ht="14.25" customHeight="1">
      <c r="D735" s="69"/>
      <c r="E735" s="69"/>
    </row>
    <row r="736" ht="14.25" customHeight="1">
      <c r="D736" s="69"/>
      <c r="E736" s="69"/>
    </row>
    <row r="737" ht="14.25" customHeight="1">
      <c r="D737" s="69"/>
      <c r="E737" s="69"/>
    </row>
    <row r="738" ht="14.25" customHeight="1">
      <c r="D738" s="69"/>
      <c r="E738" s="69"/>
    </row>
    <row r="739" ht="14.25" customHeight="1">
      <c r="D739" s="69"/>
      <c r="E739" s="69"/>
    </row>
    <row r="740" ht="14.25" customHeight="1">
      <c r="D740" s="69"/>
      <c r="E740" s="69"/>
    </row>
    <row r="741" ht="14.25" customHeight="1">
      <c r="D741" s="69"/>
      <c r="E741" s="69"/>
    </row>
    <row r="742" ht="14.25" customHeight="1">
      <c r="D742" s="69"/>
      <c r="E742" s="69"/>
    </row>
    <row r="743" ht="14.25" customHeight="1">
      <c r="D743" s="69"/>
      <c r="E743" s="69"/>
    </row>
    <row r="744" ht="14.25" customHeight="1">
      <c r="D744" s="69"/>
      <c r="E744" s="69"/>
    </row>
    <row r="745" ht="14.25" customHeight="1">
      <c r="D745" s="69"/>
      <c r="E745" s="69"/>
    </row>
    <row r="746" ht="14.25" customHeight="1">
      <c r="D746" s="69"/>
      <c r="E746" s="69"/>
    </row>
    <row r="747" ht="14.25" customHeight="1">
      <c r="D747" s="69"/>
      <c r="E747" s="69"/>
    </row>
    <row r="748" ht="14.25" customHeight="1">
      <c r="D748" s="69"/>
      <c r="E748" s="69"/>
    </row>
    <row r="749" ht="14.25" customHeight="1">
      <c r="D749" s="69"/>
      <c r="E749" s="69"/>
    </row>
    <row r="750" ht="14.25" customHeight="1">
      <c r="D750" s="69"/>
      <c r="E750" s="69"/>
    </row>
    <row r="751" ht="14.25" customHeight="1">
      <c r="D751" s="69"/>
      <c r="E751" s="69"/>
    </row>
    <row r="752" ht="14.25" customHeight="1">
      <c r="D752" s="69"/>
      <c r="E752" s="69"/>
    </row>
    <row r="753" ht="14.25" customHeight="1">
      <c r="D753" s="69"/>
      <c r="E753" s="69"/>
    </row>
    <row r="754" ht="14.25" customHeight="1">
      <c r="D754" s="69"/>
      <c r="E754" s="69"/>
    </row>
    <row r="755" ht="14.25" customHeight="1">
      <c r="D755" s="69"/>
      <c r="E755" s="69"/>
    </row>
    <row r="756" ht="14.25" customHeight="1">
      <c r="D756" s="69"/>
      <c r="E756" s="69"/>
    </row>
    <row r="757" ht="14.25" customHeight="1">
      <c r="D757" s="69"/>
      <c r="E757" s="69"/>
    </row>
    <row r="758" ht="14.25" customHeight="1">
      <c r="D758" s="69"/>
      <c r="E758" s="69"/>
    </row>
    <row r="759" ht="14.25" customHeight="1">
      <c r="D759" s="69"/>
      <c r="E759" s="69"/>
    </row>
    <row r="760" ht="14.25" customHeight="1">
      <c r="D760" s="69"/>
      <c r="E760" s="69"/>
    </row>
    <row r="761" ht="14.25" customHeight="1">
      <c r="D761" s="69"/>
      <c r="E761" s="69"/>
    </row>
    <row r="762" ht="14.25" customHeight="1">
      <c r="D762" s="69"/>
      <c r="E762" s="69"/>
    </row>
    <row r="763" ht="14.25" customHeight="1">
      <c r="D763" s="69"/>
      <c r="E763" s="69"/>
    </row>
    <row r="764" ht="14.25" customHeight="1">
      <c r="D764" s="69"/>
      <c r="E764" s="69"/>
    </row>
    <row r="765" ht="14.25" customHeight="1">
      <c r="D765" s="69"/>
      <c r="E765" s="69"/>
    </row>
    <row r="766" ht="14.25" customHeight="1">
      <c r="D766" s="69"/>
      <c r="E766" s="69"/>
    </row>
    <row r="767" ht="14.25" customHeight="1">
      <c r="D767" s="69"/>
      <c r="E767" s="69"/>
    </row>
    <row r="768" ht="14.25" customHeight="1">
      <c r="D768" s="69"/>
      <c r="E768" s="69"/>
    </row>
    <row r="769" ht="14.25" customHeight="1">
      <c r="D769" s="69"/>
      <c r="E769" s="69"/>
    </row>
    <row r="770" ht="14.25" customHeight="1">
      <c r="D770" s="69"/>
      <c r="E770" s="69"/>
    </row>
    <row r="771" ht="14.25" customHeight="1">
      <c r="D771" s="69"/>
      <c r="E771" s="69"/>
    </row>
    <row r="772" ht="14.25" customHeight="1">
      <c r="D772" s="69"/>
      <c r="E772" s="69"/>
    </row>
    <row r="773" ht="14.25" customHeight="1">
      <c r="D773" s="69"/>
      <c r="E773" s="69"/>
    </row>
    <row r="774" ht="14.25" customHeight="1">
      <c r="D774" s="69"/>
      <c r="E774" s="69"/>
    </row>
    <row r="775" ht="14.25" customHeight="1">
      <c r="D775" s="69"/>
      <c r="E775" s="69"/>
    </row>
    <row r="776" ht="14.25" customHeight="1">
      <c r="D776" s="69"/>
      <c r="E776" s="69"/>
    </row>
    <row r="777" ht="14.25" customHeight="1">
      <c r="D777" s="69"/>
      <c r="E777" s="69"/>
    </row>
    <row r="778" ht="14.25" customHeight="1">
      <c r="D778" s="69"/>
      <c r="E778" s="69"/>
    </row>
    <row r="779" ht="14.25" customHeight="1">
      <c r="D779" s="69"/>
      <c r="E779" s="69"/>
    </row>
    <row r="780" ht="14.25" customHeight="1">
      <c r="D780" s="69"/>
      <c r="E780" s="69"/>
    </row>
    <row r="781" ht="14.25" customHeight="1">
      <c r="D781" s="69"/>
      <c r="E781" s="69"/>
    </row>
    <row r="782" ht="14.25" customHeight="1">
      <c r="D782" s="69"/>
      <c r="E782" s="69"/>
    </row>
    <row r="783" ht="14.25" customHeight="1">
      <c r="D783" s="69"/>
      <c r="E783" s="69"/>
    </row>
    <row r="784" ht="14.25" customHeight="1">
      <c r="D784" s="69"/>
      <c r="E784" s="69"/>
    </row>
    <row r="785" ht="14.25" customHeight="1">
      <c r="D785" s="69"/>
      <c r="E785" s="69"/>
    </row>
    <row r="786" ht="14.25" customHeight="1">
      <c r="D786" s="69"/>
      <c r="E786" s="69"/>
    </row>
    <row r="787" ht="14.25" customHeight="1">
      <c r="D787" s="69"/>
      <c r="E787" s="69"/>
    </row>
    <row r="788" ht="14.25" customHeight="1">
      <c r="D788" s="69"/>
      <c r="E788" s="69"/>
    </row>
    <row r="789" ht="14.25" customHeight="1">
      <c r="D789" s="69"/>
      <c r="E789" s="69"/>
    </row>
    <row r="790" ht="14.25" customHeight="1">
      <c r="D790" s="69"/>
      <c r="E790" s="69"/>
    </row>
    <row r="791" ht="14.25" customHeight="1">
      <c r="D791" s="69"/>
      <c r="E791" s="69"/>
    </row>
    <row r="792" ht="14.25" customHeight="1">
      <c r="D792" s="69"/>
      <c r="E792" s="69"/>
    </row>
    <row r="793" ht="14.25" customHeight="1">
      <c r="D793" s="69"/>
      <c r="E793" s="69"/>
    </row>
    <row r="794" ht="14.25" customHeight="1">
      <c r="D794" s="69"/>
      <c r="E794" s="69"/>
    </row>
    <row r="795" ht="14.25" customHeight="1">
      <c r="D795" s="69"/>
      <c r="E795" s="69"/>
    </row>
    <row r="796" ht="14.25" customHeight="1">
      <c r="D796" s="69"/>
      <c r="E796" s="69"/>
    </row>
    <row r="797" ht="14.25" customHeight="1">
      <c r="D797" s="69"/>
      <c r="E797" s="69"/>
    </row>
    <row r="798" ht="14.25" customHeight="1">
      <c r="D798" s="69"/>
      <c r="E798" s="69"/>
    </row>
    <row r="799" ht="14.25" customHeight="1">
      <c r="D799" s="69"/>
      <c r="E799" s="69"/>
    </row>
    <row r="800" ht="14.25" customHeight="1">
      <c r="D800" s="69"/>
      <c r="E800" s="69"/>
    </row>
    <row r="801" ht="14.25" customHeight="1">
      <c r="D801" s="69"/>
      <c r="E801" s="69"/>
    </row>
    <row r="802" ht="14.25" customHeight="1">
      <c r="D802" s="69"/>
      <c r="E802" s="69"/>
    </row>
    <row r="803" ht="14.25" customHeight="1">
      <c r="D803" s="69"/>
      <c r="E803" s="69"/>
    </row>
    <row r="804" ht="14.25" customHeight="1">
      <c r="D804" s="69"/>
      <c r="E804" s="69"/>
    </row>
    <row r="805" ht="14.25" customHeight="1">
      <c r="D805" s="69"/>
      <c r="E805" s="69"/>
    </row>
    <row r="806" ht="14.25" customHeight="1">
      <c r="D806" s="69"/>
      <c r="E806" s="69"/>
    </row>
    <row r="807" ht="14.25" customHeight="1">
      <c r="D807" s="69"/>
      <c r="E807" s="69"/>
    </row>
    <row r="808" ht="14.25" customHeight="1">
      <c r="D808" s="69"/>
      <c r="E808" s="69"/>
    </row>
    <row r="809" ht="14.25" customHeight="1">
      <c r="D809" s="69"/>
      <c r="E809" s="69"/>
    </row>
    <row r="810" ht="14.25" customHeight="1">
      <c r="D810" s="69"/>
      <c r="E810" s="69"/>
    </row>
    <row r="811" ht="14.25" customHeight="1">
      <c r="D811" s="69"/>
      <c r="E811" s="69"/>
    </row>
    <row r="812" ht="14.25" customHeight="1">
      <c r="D812" s="69"/>
      <c r="E812" s="69"/>
    </row>
    <row r="813" ht="14.25" customHeight="1">
      <c r="D813" s="69"/>
      <c r="E813" s="69"/>
    </row>
    <row r="814" ht="14.25" customHeight="1">
      <c r="D814" s="69"/>
      <c r="E814" s="69"/>
    </row>
    <row r="815" ht="14.25" customHeight="1">
      <c r="D815" s="69"/>
      <c r="E815" s="69"/>
    </row>
    <row r="816" ht="14.25" customHeight="1">
      <c r="D816" s="69"/>
      <c r="E816" s="69"/>
    </row>
    <row r="817" ht="14.25" customHeight="1">
      <c r="D817" s="69"/>
      <c r="E817" s="69"/>
    </row>
    <row r="818" ht="14.25" customHeight="1">
      <c r="D818" s="69"/>
      <c r="E818" s="69"/>
    </row>
    <row r="819" ht="14.25" customHeight="1">
      <c r="D819" s="69"/>
      <c r="E819" s="69"/>
    </row>
    <row r="820" ht="14.25" customHeight="1">
      <c r="D820" s="69"/>
      <c r="E820" s="69"/>
    </row>
    <row r="821" ht="14.25" customHeight="1">
      <c r="D821" s="69"/>
      <c r="E821" s="69"/>
    </row>
    <row r="822" ht="14.25" customHeight="1">
      <c r="D822" s="69"/>
      <c r="E822" s="69"/>
    </row>
    <row r="823" ht="14.25" customHeight="1">
      <c r="D823" s="69"/>
      <c r="E823" s="69"/>
    </row>
    <row r="824" ht="14.25" customHeight="1">
      <c r="D824" s="69"/>
      <c r="E824" s="69"/>
    </row>
    <row r="825" ht="14.25" customHeight="1">
      <c r="D825" s="69"/>
      <c r="E825" s="69"/>
    </row>
    <row r="826" ht="14.25" customHeight="1">
      <c r="D826" s="69"/>
      <c r="E826" s="69"/>
    </row>
    <row r="827" ht="14.25" customHeight="1">
      <c r="D827" s="69"/>
      <c r="E827" s="69"/>
    </row>
    <row r="828" ht="14.25" customHeight="1">
      <c r="D828" s="69"/>
      <c r="E828" s="69"/>
    </row>
    <row r="829" ht="14.25" customHeight="1">
      <c r="D829" s="69"/>
      <c r="E829" s="69"/>
    </row>
    <row r="830" ht="14.25" customHeight="1">
      <c r="D830" s="69"/>
      <c r="E830" s="69"/>
    </row>
    <row r="831" ht="14.25" customHeight="1">
      <c r="D831" s="69"/>
      <c r="E831" s="69"/>
    </row>
    <row r="832" ht="14.25" customHeight="1">
      <c r="D832" s="69"/>
      <c r="E832" s="69"/>
    </row>
    <row r="833" ht="14.25" customHeight="1">
      <c r="D833" s="69"/>
      <c r="E833" s="69"/>
    </row>
    <row r="834" ht="14.25" customHeight="1">
      <c r="D834" s="69"/>
      <c r="E834" s="69"/>
    </row>
    <row r="835" ht="14.25" customHeight="1">
      <c r="D835" s="69"/>
      <c r="E835" s="69"/>
    </row>
    <row r="836" ht="14.25" customHeight="1">
      <c r="D836" s="69"/>
      <c r="E836" s="69"/>
    </row>
    <row r="837" ht="14.25" customHeight="1">
      <c r="D837" s="69"/>
      <c r="E837" s="69"/>
    </row>
    <row r="838" ht="14.25" customHeight="1">
      <c r="D838" s="69"/>
      <c r="E838" s="69"/>
    </row>
    <row r="839" ht="14.25" customHeight="1">
      <c r="D839" s="69"/>
      <c r="E839" s="69"/>
    </row>
    <row r="840" ht="14.25" customHeight="1">
      <c r="D840" s="69"/>
      <c r="E840" s="69"/>
    </row>
    <row r="841" ht="14.25" customHeight="1">
      <c r="D841" s="69"/>
      <c r="E841" s="69"/>
    </row>
    <row r="842" ht="14.25" customHeight="1">
      <c r="D842" s="69"/>
      <c r="E842" s="69"/>
    </row>
    <row r="843" ht="14.25" customHeight="1">
      <c r="D843" s="69"/>
      <c r="E843" s="69"/>
    </row>
    <row r="844" ht="14.25" customHeight="1">
      <c r="D844" s="69"/>
      <c r="E844" s="69"/>
    </row>
    <row r="845" ht="14.25" customHeight="1">
      <c r="D845" s="69"/>
      <c r="E845" s="69"/>
    </row>
    <row r="846" ht="14.25" customHeight="1">
      <c r="D846" s="69"/>
      <c r="E846" s="69"/>
    </row>
    <row r="847" ht="14.25" customHeight="1">
      <c r="D847" s="69"/>
      <c r="E847" s="69"/>
    </row>
    <row r="848" ht="14.25" customHeight="1">
      <c r="D848" s="69"/>
      <c r="E848" s="69"/>
    </row>
    <row r="849" ht="14.25" customHeight="1">
      <c r="D849" s="69"/>
      <c r="E849" s="69"/>
    </row>
    <row r="850" ht="14.25" customHeight="1">
      <c r="D850" s="69"/>
      <c r="E850" s="69"/>
    </row>
    <row r="851" ht="14.25" customHeight="1">
      <c r="D851" s="69"/>
      <c r="E851" s="69"/>
    </row>
    <row r="852" ht="14.25" customHeight="1">
      <c r="D852" s="69"/>
      <c r="E852" s="69"/>
    </row>
    <row r="853" ht="14.25" customHeight="1">
      <c r="D853" s="69"/>
      <c r="E853" s="69"/>
    </row>
    <row r="854" ht="14.25" customHeight="1">
      <c r="D854" s="69"/>
      <c r="E854" s="69"/>
    </row>
    <row r="855" ht="14.25" customHeight="1">
      <c r="D855" s="69"/>
      <c r="E855" s="69"/>
    </row>
    <row r="856" ht="14.25" customHeight="1">
      <c r="D856" s="69"/>
      <c r="E856" s="69"/>
    </row>
    <row r="857" ht="14.25" customHeight="1">
      <c r="D857" s="69"/>
      <c r="E857" s="69"/>
    </row>
    <row r="858" ht="14.25" customHeight="1">
      <c r="D858" s="69"/>
      <c r="E858" s="69"/>
    </row>
    <row r="859" ht="14.25" customHeight="1">
      <c r="D859" s="69"/>
      <c r="E859" s="69"/>
    </row>
    <row r="860" ht="14.25" customHeight="1">
      <c r="D860" s="69"/>
      <c r="E860" s="69"/>
    </row>
    <row r="861" ht="14.25" customHeight="1">
      <c r="D861" s="69"/>
      <c r="E861" s="69"/>
    </row>
    <row r="862" ht="14.25" customHeight="1">
      <c r="D862" s="69"/>
      <c r="E862" s="69"/>
    </row>
    <row r="863" ht="14.25" customHeight="1">
      <c r="D863" s="69"/>
      <c r="E863" s="69"/>
    </row>
    <row r="864" ht="14.25" customHeight="1">
      <c r="D864" s="69"/>
      <c r="E864" s="69"/>
    </row>
    <row r="865" ht="14.25" customHeight="1">
      <c r="D865" s="69"/>
      <c r="E865" s="69"/>
    </row>
    <row r="866" ht="14.25" customHeight="1">
      <c r="D866" s="69"/>
      <c r="E866" s="69"/>
    </row>
    <row r="867" ht="14.25" customHeight="1">
      <c r="D867" s="69"/>
      <c r="E867" s="69"/>
    </row>
    <row r="868" ht="14.25" customHeight="1">
      <c r="D868" s="69"/>
      <c r="E868" s="69"/>
    </row>
    <row r="869" ht="14.25" customHeight="1">
      <c r="D869" s="69"/>
      <c r="E869" s="69"/>
    </row>
    <row r="870" ht="14.25" customHeight="1">
      <c r="D870" s="69"/>
      <c r="E870" s="69"/>
    </row>
    <row r="871" ht="14.25" customHeight="1">
      <c r="D871" s="69"/>
      <c r="E871" s="69"/>
    </row>
    <row r="872" ht="14.25" customHeight="1">
      <c r="D872" s="69"/>
      <c r="E872" s="69"/>
    </row>
    <row r="873" ht="14.25" customHeight="1">
      <c r="D873" s="69"/>
      <c r="E873" s="69"/>
    </row>
    <row r="874" ht="14.25" customHeight="1">
      <c r="D874" s="69"/>
      <c r="E874" s="69"/>
    </row>
    <row r="875" ht="14.25" customHeight="1">
      <c r="D875" s="69"/>
      <c r="E875" s="69"/>
    </row>
    <row r="876" ht="14.25" customHeight="1">
      <c r="D876" s="69"/>
      <c r="E876" s="69"/>
    </row>
    <row r="877" ht="14.25" customHeight="1">
      <c r="D877" s="69"/>
      <c r="E877" s="69"/>
    </row>
    <row r="878" ht="14.25" customHeight="1">
      <c r="D878" s="69"/>
      <c r="E878" s="69"/>
    </row>
    <row r="879" ht="14.25" customHeight="1">
      <c r="D879" s="69"/>
      <c r="E879" s="69"/>
    </row>
    <row r="880" ht="14.25" customHeight="1">
      <c r="D880" s="69"/>
      <c r="E880" s="69"/>
    </row>
    <row r="881" ht="14.25" customHeight="1">
      <c r="D881" s="69"/>
      <c r="E881" s="69"/>
    </row>
    <row r="882" ht="14.25" customHeight="1">
      <c r="D882" s="69"/>
      <c r="E882" s="69"/>
    </row>
    <row r="883" ht="14.25" customHeight="1">
      <c r="D883" s="69"/>
      <c r="E883" s="69"/>
    </row>
    <row r="884" ht="14.25" customHeight="1">
      <c r="D884" s="69"/>
      <c r="E884" s="69"/>
    </row>
    <row r="885" ht="14.25" customHeight="1">
      <c r="D885" s="69"/>
      <c r="E885" s="69"/>
    </row>
    <row r="886" ht="14.25" customHeight="1">
      <c r="D886" s="69"/>
      <c r="E886" s="69"/>
    </row>
    <row r="887" ht="14.25" customHeight="1">
      <c r="D887" s="69"/>
      <c r="E887" s="69"/>
    </row>
    <row r="888" ht="14.25" customHeight="1">
      <c r="D888" s="69"/>
      <c r="E888" s="69"/>
    </row>
    <row r="889" ht="14.25" customHeight="1">
      <c r="D889" s="69"/>
      <c r="E889" s="69"/>
    </row>
    <row r="890" ht="14.25" customHeight="1">
      <c r="D890" s="69"/>
      <c r="E890" s="69"/>
    </row>
    <row r="891" ht="14.25" customHeight="1">
      <c r="D891" s="69"/>
      <c r="E891" s="69"/>
    </row>
    <row r="892" ht="14.25" customHeight="1">
      <c r="D892" s="69"/>
      <c r="E892" s="69"/>
    </row>
    <row r="893" ht="14.25" customHeight="1">
      <c r="D893" s="69"/>
      <c r="E893" s="69"/>
    </row>
    <row r="894" ht="14.25" customHeight="1">
      <c r="D894" s="69"/>
      <c r="E894" s="69"/>
    </row>
    <row r="895" ht="14.25" customHeight="1">
      <c r="D895" s="69"/>
      <c r="E895" s="69"/>
    </row>
    <row r="896" ht="14.25" customHeight="1">
      <c r="D896" s="69"/>
      <c r="E896" s="69"/>
    </row>
    <row r="897" ht="14.25" customHeight="1">
      <c r="D897" s="69"/>
      <c r="E897" s="69"/>
    </row>
    <row r="898" ht="14.25" customHeight="1">
      <c r="D898" s="69"/>
      <c r="E898" s="69"/>
    </row>
    <row r="899" ht="14.25" customHeight="1">
      <c r="D899" s="69"/>
      <c r="E899" s="69"/>
    </row>
    <row r="900" ht="14.25" customHeight="1">
      <c r="D900" s="69"/>
      <c r="E900" s="69"/>
    </row>
    <row r="901" ht="14.25" customHeight="1">
      <c r="D901" s="69"/>
      <c r="E901" s="69"/>
    </row>
    <row r="902" ht="14.25" customHeight="1">
      <c r="D902" s="69"/>
      <c r="E902" s="69"/>
    </row>
    <row r="903" ht="14.25" customHeight="1">
      <c r="D903" s="69"/>
      <c r="E903" s="69"/>
    </row>
    <row r="904" ht="14.25" customHeight="1">
      <c r="D904" s="69"/>
      <c r="E904" s="69"/>
    </row>
    <row r="905" ht="14.25" customHeight="1">
      <c r="D905" s="69"/>
      <c r="E905" s="69"/>
    </row>
    <row r="906" ht="14.25" customHeight="1">
      <c r="D906" s="69"/>
      <c r="E906" s="69"/>
    </row>
    <row r="907" ht="14.25" customHeight="1">
      <c r="D907" s="69"/>
      <c r="E907" s="69"/>
    </row>
    <row r="908" ht="14.25" customHeight="1">
      <c r="D908" s="69"/>
      <c r="E908" s="69"/>
    </row>
    <row r="909" ht="14.25" customHeight="1">
      <c r="D909" s="69"/>
      <c r="E909" s="69"/>
    </row>
    <row r="910" ht="14.25" customHeight="1">
      <c r="D910" s="69"/>
      <c r="E910" s="69"/>
    </row>
    <row r="911" ht="14.25" customHeight="1">
      <c r="D911" s="69"/>
      <c r="E911" s="69"/>
    </row>
    <row r="912" ht="14.25" customHeight="1">
      <c r="D912" s="69"/>
      <c r="E912" s="69"/>
    </row>
    <row r="913" ht="14.25" customHeight="1">
      <c r="D913" s="69"/>
      <c r="E913" s="69"/>
    </row>
    <row r="914" ht="14.25" customHeight="1">
      <c r="D914" s="69"/>
      <c r="E914" s="69"/>
    </row>
    <row r="915" ht="14.25" customHeight="1">
      <c r="D915" s="69"/>
      <c r="E915" s="69"/>
    </row>
    <row r="916" ht="14.25" customHeight="1">
      <c r="D916" s="69"/>
      <c r="E916" s="69"/>
    </row>
    <row r="917" ht="14.25" customHeight="1">
      <c r="D917" s="69"/>
      <c r="E917" s="69"/>
    </row>
    <row r="918" ht="14.25" customHeight="1">
      <c r="D918" s="69"/>
      <c r="E918" s="69"/>
    </row>
    <row r="919" ht="14.25" customHeight="1">
      <c r="D919" s="69"/>
      <c r="E919" s="69"/>
    </row>
    <row r="920" ht="14.25" customHeight="1">
      <c r="D920" s="69"/>
      <c r="E920" s="69"/>
    </row>
    <row r="921" ht="14.25" customHeight="1">
      <c r="D921" s="69"/>
      <c r="E921" s="69"/>
    </row>
    <row r="922" ht="14.25" customHeight="1">
      <c r="D922" s="69"/>
      <c r="E922" s="69"/>
    </row>
    <row r="923" ht="14.25" customHeight="1">
      <c r="D923" s="69"/>
      <c r="E923" s="69"/>
    </row>
    <row r="924" ht="14.25" customHeight="1">
      <c r="D924" s="69"/>
      <c r="E924" s="69"/>
    </row>
    <row r="925" ht="14.25" customHeight="1">
      <c r="D925" s="69"/>
      <c r="E925" s="69"/>
    </row>
    <row r="926" ht="14.25" customHeight="1">
      <c r="D926" s="69"/>
      <c r="E926" s="69"/>
    </row>
    <row r="927" ht="14.25" customHeight="1">
      <c r="D927" s="69"/>
      <c r="E927" s="69"/>
    </row>
    <row r="928" ht="14.25" customHeight="1">
      <c r="D928" s="69"/>
      <c r="E928" s="69"/>
    </row>
    <row r="929" ht="14.25" customHeight="1">
      <c r="D929" s="69"/>
      <c r="E929" s="69"/>
    </row>
    <row r="930" ht="14.25" customHeight="1">
      <c r="D930" s="69"/>
      <c r="E930" s="69"/>
    </row>
    <row r="931" ht="14.25" customHeight="1">
      <c r="D931" s="69"/>
      <c r="E931" s="69"/>
    </row>
    <row r="932" ht="14.25" customHeight="1">
      <c r="D932" s="69"/>
      <c r="E932" s="69"/>
    </row>
    <row r="933" ht="14.25" customHeight="1">
      <c r="D933" s="69"/>
      <c r="E933" s="69"/>
    </row>
    <row r="934" ht="14.25" customHeight="1">
      <c r="D934" s="69"/>
      <c r="E934" s="69"/>
    </row>
    <row r="935" ht="14.25" customHeight="1">
      <c r="D935" s="69"/>
      <c r="E935" s="69"/>
    </row>
    <row r="936" ht="14.25" customHeight="1">
      <c r="D936" s="69"/>
      <c r="E936" s="69"/>
    </row>
    <row r="937" ht="14.25" customHeight="1">
      <c r="D937" s="69"/>
      <c r="E937" s="69"/>
    </row>
    <row r="938" ht="14.25" customHeight="1">
      <c r="D938" s="69"/>
      <c r="E938" s="69"/>
    </row>
    <row r="939" ht="14.25" customHeight="1">
      <c r="D939" s="69"/>
      <c r="E939" s="69"/>
    </row>
    <row r="940" ht="14.25" customHeight="1">
      <c r="D940" s="69"/>
      <c r="E940" s="69"/>
    </row>
    <row r="941" ht="14.25" customHeight="1">
      <c r="D941" s="69"/>
      <c r="E941" s="69"/>
    </row>
    <row r="942" ht="14.25" customHeight="1">
      <c r="D942" s="69"/>
      <c r="E942" s="69"/>
    </row>
    <row r="943" ht="14.25" customHeight="1">
      <c r="D943" s="69"/>
      <c r="E943" s="69"/>
    </row>
    <row r="944" ht="14.25" customHeight="1">
      <c r="D944" s="69"/>
      <c r="E944" s="69"/>
    </row>
    <row r="945" ht="14.25" customHeight="1">
      <c r="D945" s="69"/>
      <c r="E945" s="69"/>
    </row>
    <row r="946" ht="14.25" customHeight="1">
      <c r="D946" s="69"/>
      <c r="E946" s="69"/>
    </row>
    <row r="947" ht="14.25" customHeight="1">
      <c r="D947" s="69"/>
      <c r="E947" s="69"/>
    </row>
    <row r="948" ht="14.25" customHeight="1">
      <c r="D948" s="69"/>
      <c r="E948" s="69"/>
    </row>
    <row r="949" ht="14.25" customHeight="1">
      <c r="D949" s="69"/>
      <c r="E949" s="69"/>
    </row>
    <row r="950" ht="14.25" customHeight="1">
      <c r="D950" s="69"/>
      <c r="E950" s="69"/>
    </row>
    <row r="951" ht="14.25" customHeight="1">
      <c r="D951" s="69"/>
      <c r="E951" s="69"/>
    </row>
    <row r="952" ht="14.25" customHeight="1">
      <c r="D952" s="69"/>
      <c r="E952" s="69"/>
    </row>
    <row r="953" ht="14.25" customHeight="1">
      <c r="D953" s="69"/>
      <c r="E953" s="69"/>
    </row>
    <row r="954" ht="14.25" customHeight="1">
      <c r="D954" s="69"/>
      <c r="E954" s="69"/>
    </row>
    <row r="955" ht="14.25" customHeight="1">
      <c r="D955" s="69"/>
      <c r="E955" s="69"/>
    </row>
    <row r="956" ht="14.25" customHeight="1">
      <c r="D956" s="69"/>
      <c r="E956" s="69"/>
    </row>
    <row r="957" ht="14.25" customHeight="1">
      <c r="D957" s="69"/>
      <c r="E957" s="69"/>
    </row>
    <row r="958" ht="14.25" customHeight="1">
      <c r="D958" s="69"/>
      <c r="E958" s="69"/>
    </row>
    <row r="959" ht="14.25" customHeight="1">
      <c r="D959" s="69"/>
      <c r="E959" s="69"/>
    </row>
    <row r="960" ht="14.25" customHeight="1">
      <c r="D960" s="69"/>
      <c r="E960" s="69"/>
    </row>
    <row r="961" ht="14.25" customHeight="1">
      <c r="D961" s="69"/>
      <c r="E961" s="69"/>
    </row>
    <row r="962" ht="14.25" customHeight="1">
      <c r="D962" s="69"/>
      <c r="E962" s="69"/>
    </row>
    <row r="963" ht="14.25" customHeight="1">
      <c r="D963" s="69"/>
      <c r="E963" s="69"/>
    </row>
    <row r="964" ht="14.25" customHeight="1">
      <c r="D964" s="69"/>
      <c r="E964" s="69"/>
    </row>
    <row r="965" ht="14.25" customHeight="1">
      <c r="D965" s="69"/>
      <c r="E965" s="69"/>
    </row>
    <row r="966" ht="14.25" customHeight="1">
      <c r="D966" s="69"/>
      <c r="E966" s="69"/>
    </row>
    <row r="967" ht="14.25" customHeight="1">
      <c r="D967" s="69"/>
      <c r="E967" s="69"/>
    </row>
    <row r="968" ht="14.25" customHeight="1">
      <c r="D968" s="69"/>
      <c r="E968" s="69"/>
    </row>
    <row r="969" ht="14.25" customHeight="1">
      <c r="D969" s="69"/>
      <c r="E969" s="69"/>
    </row>
    <row r="970" ht="14.25" customHeight="1">
      <c r="D970" s="69"/>
      <c r="E970" s="69"/>
    </row>
    <row r="971" ht="14.25" customHeight="1">
      <c r="D971" s="69"/>
      <c r="E971" s="69"/>
    </row>
    <row r="972" ht="14.25" customHeight="1">
      <c r="D972" s="69"/>
      <c r="E972" s="69"/>
    </row>
    <row r="973" ht="14.25" customHeight="1">
      <c r="D973" s="69"/>
      <c r="E973" s="69"/>
    </row>
    <row r="974" ht="14.25" customHeight="1">
      <c r="D974" s="69"/>
      <c r="E974" s="69"/>
    </row>
    <row r="975" ht="14.25" customHeight="1">
      <c r="D975" s="69"/>
      <c r="E975" s="69"/>
    </row>
    <row r="976" ht="14.25" customHeight="1">
      <c r="D976" s="69"/>
      <c r="E976" s="69"/>
    </row>
    <row r="977" ht="14.25" customHeight="1">
      <c r="D977" s="69"/>
      <c r="E977" s="69"/>
    </row>
    <row r="978" ht="14.25" customHeight="1">
      <c r="D978" s="69"/>
      <c r="E978" s="69"/>
    </row>
    <row r="979" ht="14.25" customHeight="1">
      <c r="D979" s="69"/>
      <c r="E979" s="69"/>
    </row>
    <row r="980" ht="14.25" customHeight="1">
      <c r="D980" s="69"/>
      <c r="E980" s="69"/>
    </row>
    <row r="981" ht="14.25" customHeight="1">
      <c r="D981" s="69"/>
      <c r="E981" s="69"/>
    </row>
    <row r="982" ht="14.25" customHeight="1">
      <c r="D982" s="69"/>
      <c r="E982" s="69"/>
    </row>
    <row r="983" ht="14.25" customHeight="1">
      <c r="D983" s="69"/>
      <c r="E983" s="69"/>
    </row>
    <row r="984" ht="14.25" customHeight="1">
      <c r="D984" s="69"/>
      <c r="E984" s="69"/>
    </row>
    <row r="985" ht="14.25" customHeight="1">
      <c r="D985" s="69"/>
      <c r="E985" s="69"/>
    </row>
    <row r="986" ht="14.25" customHeight="1">
      <c r="D986" s="69"/>
      <c r="E986" s="69"/>
    </row>
    <row r="987" ht="14.25" customHeight="1">
      <c r="D987" s="69"/>
      <c r="E987" s="69"/>
    </row>
    <row r="988" ht="14.25" customHeight="1">
      <c r="D988" s="69"/>
      <c r="E988" s="69"/>
    </row>
    <row r="989" ht="14.25" customHeight="1">
      <c r="D989" s="69"/>
      <c r="E989" s="69"/>
    </row>
    <row r="990" ht="14.25" customHeight="1">
      <c r="D990" s="69"/>
      <c r="E990" s="69"/>
    </row>
    <row r="991" ht="14.25" customHeight="1">
      <c r="D991" s="69"/>
      <c r="E991" s="69"/>
    </row>
    <row r="992" ht="14.25" customHeight="1">
      <c r="D992" s="69"/>
      <c r="E992" s="69"/>
    </row>
    <row r="993" ht="14.25" customHeight="1">
      <c r="D993" s="69"/>
      <c r="E993" s="69"/>
    </row>
    <row r="994" ht="14.25" customHeight="1">
      <c r="D994" s="69"/>
      <c r="E994" s="69"/>
    </row>
    <row r="995" ht="14.25" customHeight="1">
      <c r="D995" s="69"/>
      <c r="E995" s="69"/>
    </row>
    <row r="996" ht="14.25" customHeight="1">
      <c r="D996" s="69"/>
      <c r="E996" s="69"/>
    </row>
    <row r="997" ht="14.25" customHeight="1">
      <c r="D997" s="69"/>
      <c r="E997" s="69"/>
    </row>
    <row r="998" ht="14.25" customHeight="1">
      <c r="D998" s="69"/>
      <c r="E998" s="69"/>
    </row>
    <row r="999" ht="14.25" customHeight="1">
      <c r="D999" s="69"/>
      <c r="E999" s="69"/>
    </row>
    <row r="1000" ht="14.25" customHeight="1">
      <c r="D1000" s="69"/>
      <c r="E1000" s="69"/>
    </row>
  </sheetData>
  <mergeCells count="12">
    <mergeCell ref="A84:A94"/>
    <mergeCell ref="A95:A109"/>
    <mergeCell ref="A110:A114"/>
    <mergeCell ref="A115:A123"/>
    <mergeCell ref="A124:A137"/>
    <mergeCell ref="A11:A22"/>
    <mergeCell ref="A23:A34"/>
    <mergeCell ref="A35:A46"/>
    <mergeCell ref="A47:A54"/>
    <mergeCell ref="A55:A64"/>
    <mergeCell ref="A65:A74"/>
    <mergeCell ref="A75:A83"/>
  </mergeCells>
  <dataValidations>
    <dataValidation type="list" allowBlank="1" showInputMessage="1" showErrorMessage="1" prompt="Alert! - Please select from the drop down list only!" sqref="B3">
      <formula1>"Approved,Not Approved,Conditionally Approved"</formula1>
    </dataValidation>
  </dataValidations>
  <printOptions/>
  <pageMargins bottom="0.75" footer="0.0" header="0.0" left="0.7" right="0.7" top="0.75"/>
  <pageSetup orientation="portrait"/>
  <headerFooter>
    <oddHeader>&amp;L000000TCS Internal#</oddHeader>
    <oddFooter>&amp;L#000000TCS Internal</oddFooter>
  </headerFooter>
  <drawing r:id="rId1"/>
</worksheet>
</file>