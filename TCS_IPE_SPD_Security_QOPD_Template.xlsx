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defaultThemeVersion="166925"/>
  <mc:AlternateContent xmlns:mc="http://schemas.openxmlformats.org/markup-compatibility/2006">
    <mc:Choice Requires="x15">
      <x15ac:absPath xmlns:x15ac="http://schemas.microsoft.com/office/spreadsheetml/2010/11/ac" url="https://tcscomprod-my.sharepoint.com/personal/157865_tcs_com/Documents/Security/MFDM/Excel Validations/QOPD/"/>
    </mc:Choice>
  </mc:AlternateContent>
  <xr:revisionPtr revIDLastSave="0" documentId="8_{055C6D01-EC7A-4F58-A2DE-A721406A6553}" xr6:coauthVersionLast="47" xr6:coauthVersionMax="47" xr10:uidLastSave="{00000000-0000-0000-0000-000000000000}"/>
  <bookViews>
    <workbookView xWindow="-120" yWindow="-120" windowWidth="20730" windowHeight="11040" firstSheet="2" activeTab="2" xr2:uid="{00000000-000D-0000-FFFF-FFFF00000000}"/>
  </bookViews>
  <sheets>
    <sheet name="Read me" sheetId="3" r:id="rId1"/>
    <sheet name="Asset Info" sheetId="4" r:id="rId2"/>
    <sheet name="Checklist" sheetId="1" r:id="rId3"/>
    <sheet name="Report" sheetId="2" r:id="rId4"/>
  </sheets>
  <definedNames>
    <definedName name="_xlnm._FilterDatabase" localSheetId="3" hidden="1">Report!$A$10:$C$70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3" i="1" l="1"/>
  <c r="D117" i="1"/>
  <c r="J138" i="1"/>
  <c r="G139" i="1"/>
  <c r="D139" i="1"/>
  <c r="G138" i="1"/>
  <c r="J123" i="1"/>
  <c r="G123" i="1"/>
  <c r="J70" i="1"/>
  <c r="G70" i="1"/>
  <c r="E70" i="1"/>
  <c r="G53" i="1"/>
  <c r="G55" i="1"/>
  <c r="G62" i="1"/>
  <c r="J42" i="1"/>
  <c r="J37" i="1"/>
  <c r="J26" i="1"/>
  <c r="J22" i="1"/>
  <c r="J89" i="1"/>
  <c r="G89" i="1"/>
  <c r="J117" i="1" l="1"/>
  <c r="C39" i="2" s="1"/>
  <c r="G106" i="1" l="1"/>
  <c r="J107" i="1"/>
  <c r="E107" i="1"/>
  <c r="G107" i="1"/>
  <c r="D159" i="1"/>
  <c r="G177" i="1"/>
  <c r="G189" i="1"/>
  <c r="C67" i="2"/>
  <c r="J189" i="1"/>
  <c r="B1" i="2" l="1"/>
  <c r="E18" i="1"/>
  <c r="G170" i="1"/>
  <c r="G162" i="1"/>
  <c r="G125" i="1"/>
  <c r="G115" i="1"/>
  <c r="G105" i="1"/>
  <c r="G100" i="1"/>
  <c r="G99" i="1"/>
  <c r="G97" i="1"/>
  <c r="G94" i="1"/>
  <c r="G90" i="1"/>
  <c r="G88" i="1"/>
  <c r="G86" i="1"/>
  <c r="G50" i="1"/>
  <c r="D170" i="1"/>
  <c r="D162" i="1"/>
  <c r="D105" i="1"/>
  <c r="D100" i="1"/>
  <c r="D99" i="1"/>
  <c r="J99" i="1" s="1"/>
  <c r="D97" i="1"/>
  <c r="D94" i="1"/>
  <c r="D90" i="1"/>
  <c r="D88" i="1"/>
  <c r="D86" i="1"/>
  <c r="G81" i="1"/>
  <c r="D81" i="1"/>
  <c r="E80" i="1" s="1"/>
  <c r="D77" i="1"/>
  <c r="J77" i="1" s="1"/>
  <c r="D72" i="1"/>
  <c r="J72" i="1" s="1"/>
  <c r="D67" i="1"/>
  <c r="D65" i="1"/>
  <c r="E65" i="1" s="1"/>
  <c r="D62" i="1"/>
  <c r="E60" i="1" s="1"/>
  <c r="D55" i="1"/>
  <c r="E54" i="1" s="1"/>
  <c r="D53" i="1"/>
  <c r="E52" i="1" s="1"/>
  <c r="E93" i="1"/>
  <c r="E63" i="1"/>
  <c r="E51" i="1"/>
  <c r="E49" i="1"/>
  <c r="E42" i="1"/>
  <c r="G42" i="1" s="1"/>
  <c r="D40" i="1"/>
  <c r="E39" i="1"/>
  <c r="E37" i="1"/>
  <c r="G37" i="1" s="1"/>
  <c r="E26" i="1"/>
  <c r="G26" i="1" s="1"/>
  <c r="E22" i="1"/>
  <c r="G22" i="1" s="1"/>
  <c r="E16" i="1"/>
  <c r="J16" i="1" s="1"/>
  <c r="G7" i="1"/>
  <c r="G17" i="1"/>
  <c r="E17" i="1"/>
  <c r="D17" i="1"/>
  <c r="D16" i="1"/>
  <c r="J7" i="1"/>
  <c r="E9" i="1"/>
  <c r="E8" i="1"/>
  <c r="E6" i="1"/>
  <c r="E5" i="1"/>
  <c r="D7" i="1"/>
  <c r="J50" i="1"/>
  <c r="G186" i="1"/>
  <c r="D186" i="1"/>
  <c r="J186" i="1" s="1"/>
  <c r="J122" i="1"/>
  <c r="G119" i="1"/>
  <c r="G113" i="1"/>
  <c r="E111" i="1"/>
  <c r="D113" i="1"/>
  <c r="E113" i="1" s="1"/>
  <c r="E1" i="1"/>
  <c r="E138" i="1"/>
  <c r="J66" i="1"/>
  <c r="E68" i="1"/>
  <c r="J60" i="1"/>
  <c r="E61" i="1"/>
  <c r="D39" i="1"/>
  <c r="G34" i="1"/>
  <c r="D31" i="1"/>
  <c r="E32" i="1"/>
  <c r="J28" i="1"/>
  <c r="E29" i="1"/>
  <c r="E152" i="1"/>
  <c r="J148" i="1"/>
  <c r="G120" i="1"/>
  <c r="G76" i="1"/>
  <c r="J73" i="1"/>
  <c r="G73" i="1"/>
  <c r="G117" i="1" l="1"/>
  <c r="D127" i="1"/>
  <c r="E27" i="1"/>
  <c r="E79" i="1"/>
  <c r="E24" i="1"/>
  <c r="E25" i="1"/>
  <c r="E41" i="1"/>
  <c r="E23" i="1"/>
  <c r="E21" i="1"/>
  <c r="E43" i="1"/>
  <c r="E36" i="1"/>
  <c r="E38" i="1"/>
  <c r="J81" i="1"/>
  <c r="E184" i="1"/>
  <c r="E77" i="1"/>
  <c r="G77" i="1" s="1"/>
  <c r="E99" i="1"/>
  <c r="E72" i="1"/>
  <c r="G72" i="1" s="1"/>
  <c r="E117" i="1"/>
  <c r="D121" i="1"/>
  <c r="J121" i="1" s="1"/>
  <c r="D124" i="1"/>
  <c r="E124" i="1" s="1"/>
  <c r="G124" i="1"/>
  <c r="G121" i="1"/>
  <c r="G39" i="1"/>
  <c r="E153" i="1"/>
  <c r="D150" i="1"/>
  <c r="J144" i="1"/>
  <c r="G135" i="1"/>
  <c r="G129" i="1"/>
  <c r="J137" i="1"/>
  <c r="G137" i="1"/>
  <c r="E137" i="1"/>
  <c r="J132" i="1"/>
  <c r="G132" i="1"/>
  <c r="G133" i="1"/>
  <c r="J125" i="1"/>
  <c r="E127" i="1"/>
  <c r="G67" i="1"/>
  <c r="J17" i="1"/>
  <c r="E20" i="1"/>
  <c r="E19" i="1"/>
  <c r="G16" i="1"/>
  <c r="J141" i="1"/>
  <c r="G199" i="1"/>
  <c r="D199" i="1"/>
  <c r="G196" i="1"/>
  <c r="D196" i="1"/>
  <c r="G193" i="1"/>
  <c r="D193" i="1"/>
  <c r="D177" i="1"/>
  <c r="J177" i="1" s="1"/>
  <c r="G174" i="1"/>
  <c r="D174" i="1"/>
  <c r="J174" i="1" s="1"/>
  <c r="D168" i="1"/>
  <c r="E167" i="1"/>
  <c r="G166" i="1"/>
  <c r="D166" i="1"/>
  <c r="G164" i="1"/>
  <c r="D164" i="1"/>
  <c r="G159" i="1"/>
  <c r="G160" i="1"/>
  <c r="D160" i="1"/>
  <c r="G156" i="1"/>
  <c r="E155" i="1"/>
  <c r="D156" i="1"/>
  <c r="G153" i="1"/>
  <c r="D153" i="1"/>
  <c r="J153" i="1" s="1"/>
  <c r="G150" i="1"/>
  <c r="G149" i="1"/>
  <c r="E148" i="1"/>
  <c r="D149" i="1"/>
  <c r="G145" i="1"/>
  <c r="E144" i="1"/>
  <c r="D145" i="1"/>
  <c r="G136" i="1"/>
  <c r="E135" i="1"/>
  <c r="D136" i="1"/>
  <c r="G131" i="1"/>
  <c r="E130" i="1"/>
  <c r="D131" i="1"/>
  <c r="D129" i="1"/>
  <c r="J129" i="1" s="1"/>
  <c r="G126" i="1"/>
  <c r="E125" i="1"/>
  <c r="D126" i="1"/>
  <c r="E118" i="1"/>
  <c r="D119" i="1"/>
  <c r="G111" i="1"/>
  <c r="D111" i="1"/>
  <c r="J111" i="1" s="1"/>
  <c r="G109" i="1"/>
  <c r="E108" i="1"/>
  <c r="D109" i="1"/>
  <c r="G84" i="1"/>
  <c r="D84" i="1"/>
  <c r="G46" i="1"/>
  <c r="D158" i="1"/>
  <c r="G83" i="1"/>
  <c r="D83" i="1"/>
  <c r="E100" i="1" l="1"/>
  <c r="J100" i="1"/>
  <c r="C62" i="2"/>
  <c r="E145" i="1"/>
  <c r="J145" i="1"/>
  <c r="J105" i="1"/>
  <c r="C35" i="2" s="1"/>
  <c r="E105" i="1"/>
  <c r="E62" i="1"/>
  <c r="J62" i="1"/>
  <c r="E119" i="1"/>
  <c r="J119" i="1"/>
  <c r="E166" i="1"/>
  <c r="J166" i="1"/>
  <c r="E136" i="1"/>
  <c r="J136" i="1"/>
  <c r="C46" i="2" s="1"/>
  <c r="J126" i="1"/>
  <c r="E126" i="1"/>
  <c r="E159" i="1"/>
  <c r="J160" i="1"/>
  <c r="E196" i="1"/>
  <c r="J196" i="1"/>
  <c r="E90" i="1"/>
  <c r="J90" i="1"/>
  <c r="C44" i="2"/>
  <c r="E129" i="1"/>
  <c r="J131" i="1"/>
  <c r="E131" i="1"/>
  <c r="E164" i="1"/>
  <c r="J164" i="1"/>
  <c r="E149" i="1"/>
  <c r="J149" i="1"/>
  <c r="C50" i="2" s="1"/>
  <c r="E109" i="1"/>
  <c r="J109" i="1"/>
  <c r="J113" i="1"/>
  <c r="G168" i="1"/>
  <c r="J168" i="1"/>
  <c r="E168" i="1"/>
  <c r="G65" i="1"/>
  <c r="J65" i="1"/>
  <c r="J139" i="1"/>
  <c r="C47" i="2" s="1"/>
  <c r="E139" i="1"/>
  <c r="J199" i="1"/>
  <c r="E199" i="1"/>
  <c r="E94" i="1"/>
  <c r="J94" i="1"/>
  <c r="J88" i="1"/>
  <c r="E88" i="1"/>
  <c r="E162" i="1"/>
  <c r="J162" i="1"/>
  <c r="E40" i="1"/>
  <c r="G40" i="1" s="1"/>
  <c r="J40" i="1"/>
  <c r="E66" i="1"/>
  <c r="J67" i="1"/>
  <c r="E67" i="1"/>
  <c r="K81" i="1"/>
  <c r="E81" i="1"/>
  <c r="E97" i="1"/>
  <c r="J97" i="1"/>
  <c r="J170" i="1"/>
  <c r="E170" i="1"/>
  <c r="E53" i="1"/>
  <c r="J53" i="1"/>
  <c r="J156" i="1"/>
  <c r="E156" i="1"/>
  <c r="E191" i="1"/>
  <c r="E192" i="1" s="1"/>
  <c r="J193" i="1"/>
  <c r="E193" i="1"/>
  <c r="E86" i="1"/>
  <c r="J86" i="1"/>
  <c r="E55" i="1"/>
  <c r="J55" i="1"/>
  <c r="E121" i="1"/>
  <c r="E158" i="1"/>
  <c r="J158" i="1"/>
  <c r="C54" i="2" s="1"/>
  <c r="J124" i="1"/>
  <c r="E122" i="1"/>
  <c r="E165" i="1"/>
  <c r="G158" i="1"/>
  <c r="E197" i="1"/>
  <c r="E198" i="1" s="1"/>
  <c r="E195" i="1"/>
  <c r="E87" i="1" l="1"/>
  <c r="J19" i="1"/>
  <c r="C15" i="1"/>
  <c r="E15" i="1"/>
  <c r="E12" i="1"/>
  <c r="J13" i="1"/>
  <c r="G13" i="1"/>
  <c r="C14" i="1"/>
  <c r="C13" i="1"/>
  <c r="C12" i="1"/>
  <c r="C11" i="1"/>
  <c r="C10" i="1"/>
  <c r="E14" i="1"/>
  <c r="E13" i="1"/>
  <c r="G28" i="1"/>
  <c r="G173" i="1"/>
  <c r="D173" i="1"/>
  <c r="E161" i="1"/>
  <c r="J93" i="1"/>
  <c r="E83" i="1"/>
  <c r="J79" i="1"/>
  <c r="E173" i="1" l="1"/>
  <c r="J173" i="1"/>
  <c r="E120" i="1"/>
  <c r="E96" i="1"/>
  <c r="E163" i="1"/>
  <c r="E98" i="1"/>
  <c r="J84" i="1"/>
  <c r="E85" i="1"/>
  <c r="J120" i="1" l="1"/>
  <c r="C41" i="2" s="1"/>
  <c r="G114" i="1"/>
  <c r="J76" i="1"/>
  <c r="C25" i="2" s="1"/>
  <c r="E76" i="1"/>
  <c r="E71" i="1" l="1"/>
  <c r="G61" i="1" l="1"/>
  <c r="G60" i="1"/>
  <c r="G127" i="1"/>
  <c r="D36" i="1" l="1"/>
  <c r="G30" i="1"/>
  <c r="G29" i="1"/>
  <c r="E30" i="1"/>
  <c r="J63" i="1" l="1"/>
  <c r="G44" i="1"/>
  <c r="G15" i="1"/>
  <c r="G36" i="1"/>
  <c r="G175" i="1"/>
  <c r="G161" i="1"/>
  <c r="G140" i="1"/>
  <c r="G104" i="1"/>
  <c r="G82" i="1"/>
  <c r="G64" i="1"/>
  <c r="G63" i="1"/>
  <c r="G5" i="1"/>
  <c r="G155" i="1"/>
  <c r="J155" i="1"/>
  <c r="G146" i="1"/>
  <c r="G144" i="1"/>
  <c r="E143" i="1"/>
  <c r="J143" i="1" s="1"/>
  <c r="G75" i="1"/>
  <c r="J30" i="1"/>
  <c r="J29" i="1"/>
  <c r="E28" i="1"/>
  <c r="G112" i="1"/>
  <c r="K45" i="1"/>
  <c r="J39" i="1"/>
  <c r="C15" i="2" s="1"/>
  <c r="K38" i="1"/>
  <c r="K51" i="1"/>
  <c r="J46" i="1"/>
  <c r="E31" i="1"/>
  <c r="G169" i="1"/>
  <c r="E157" i="1"/>
  <c r="J157" i="1" s="1"/>
  <c r="E104" i="1"/>
  <c r="E95" i="1"/>
  <c r="J95" i="1" s="1"/>
  <c r="C31" i="2" s="1"/>
  <c r="E89" i="1"/>
  <c r="E82" i="1"/>
  <c r="E74" i="1"/>
  <c r="E75" i="1" s="1"/>
  <c r="E73" i="1"/>
  <c r="E169" i="1"/>
  <c r="J169" i="1" s="1"/>
  <c r="C59" i="2" s="1"/>
  <c r="E134" i="1"/>
  <c r="K134" i="1" s="1"/>
  <c r="E133" i="1"/>
  <c r="E132" i="1"/>
  <c r="E103" i="1"/>
  <c r="E101" i="1"/>
  <c r="E102" i="1"/>
  <c r="J127" i="1"/>
  <c r="K65" i="1"/>
  <c r="K62" i="1"/>
  <c r="E64" i="1"/>
  <c r="E59" i="1"/>
  <c r="E56" i="1"/>
  <c r="E58" i="1"/>
  <c r="E57" i="1"/>
  <c r="E47" i="1"/>
  <c r="E48" i="1"/>
  <c r="E45" i="1"/>
  <c r="J198" i="1"/>
  <c r="K199" i="1"/>
  <c r="K196" i="1"/>
  <c r="J192" i="1"/>
  <c r="K193" i="1"/>
  <c r="E188" i="1"/>
  <c r="E187" i="1"/>
  <c r="K188" i="1"/>
  <c r="E186" i="1"/>
  <c r="E185" i="1"/>
  <c r="J185" i="1" s="1"/>
  <c r="E183" i="1"/>
  <c r="E182" i="1"/>
  <c r="J182" i="1" s="1"/>
  <c r="E180" i="1"/>
  <c r="E179" i="1"/>
  <c r="J179" i="1" s="1"/>
  <c r="E176" i="1"/>
  <c r="E175" i="1"/>
  <c r="J175" i="1" s="1"/>
  <c r="C61" i="2" s="1"/>
  <c r="K186" i="1"/>
  <c r="K183" i="1"/>
  <c r="K180" i="1"/>
  <c r="K176" i="1"/>
  <c r="E172" i="1"/>
  <c r="J172" i="1" s="1"/>
  <c r="E171" i="1"/>
  <c r="K173" i="1"/>
  <c r="K168" i="1"/>
  <c r="E160" i="1"/>
  <c r="K166" i="1"/>
  <c r="K164" i="1"/>
  <c r="K162" i="1"/>
  <c r="K160" i="1"/>
  <c r="E151" i="1"/>
  <c r="E150" i="1"/>
  <c r="K153" i="1"/>
  <c r="K151" i="1"/>
  <c r="K149" i="1"/>
  <c r="G152" i="1"/>
  <c r="J152" i="1"/>
  <c r="C52" i="2" s="1"/>
  <c r="E147" i="1"/>
  <c r="K147" i="1" s="1"/>
  <c r="E146" i="1"/>
  <c r="J146" i="1" s="1"/>
  <c r="C49" i="2" s="1"/>
  <c r="K145" i="1"/>
  <c r="E142" i="1"/>
  <c r="K142" i="1" s="1"/>
  <c r="E141" i="1"/>
  <c r="K139" i="1"/>
  <c r="K136" i="1"/>
  <c r="E84" i="1"/>
  <c r="E91" i="1"/>
  <c r="J91" i="1" s="1"/>
  <c r="C30" i="2" s="1"/>
  <c r="E92" i="1"/>
  <c r="K119" i="1"/>
  <c r="E123" i="1"/>
  <c r="K124" i="1"/>
  <c r="K116" i="1"/>
  <c r="K113" i="1"/>
  <c r="E115" i="1"/>
  <c r="J115" i="1" s="1"/>
  <c r="E116" i="1"/>
  <c r="E112" i="1"/>
  <c r="J112" i="1" s="1"/>
  <c r="C37" i="2" s="1"/>
  <c r="G108" i="1"/>
  <c r="J108" i="1"/>
  <c r="C36" i="2" s="1"/>
  <c r="K109" i="1"/>
  <c r="E106" i="1"/>
  <c r="K99" i="1"/>
  <c r="K97" i="1"/>
  <c r="K92" i="1"/>
  <c r="K88" i="1"/>
  <c r="K86" i="1"/>
  <c r="K84" i="1"/>
  <c r="K72" i="1"/>
  <c r="E69" i="1"/>
  <c r="K53" i="1"/>
  <c r="E44" i="1"/>
  <c r="E35" i="1"/>
  <c r="E34" i="1"/>
  <c r="K33" i="1"/>
  <c r="E33" i="1"/>
  <c r="K18" i="1"/>
  <c r="E11" i="1"/>
  <c r="E10" i="1"/>
  <c r="E7" i="1"/>
  <c r="G198" i="1"/>
  <c r="G197" i="1"/>
  <c r="J197" i="1"/>
  <c r="G195" i="1"/>
  <c r="J195" i="1"/>
  <c r="C69" i="2" s="1"/>
  <c r="G192" i="1"/>
  <c r="G191" i="1"/>
  <c r="J191" i="1"/>
  <c r="G187" i="1"/>
  <c r="J187" i="1"/>
  <c r="C66" i="2" s="1"/>
  <c r="G185" i="1"/>
  <c r="G184" i="1"/>
  <c r="J184" i="1"/>
  <c r="G182" i="1"/>
  <c r="G181" i="1"/>
  <c r="J181" i="1"/>
  <c r="C64" i="2" s="1"/>
  <c r="G179" i="1"/>
  <c r="G178" i="1"/>
  <c r="J178" i="1"/>
  <c r="J171" i="1"/>
  <c r="C60" i="2" s="1"/>
  <c r="G172" i="1"/>
  <c r="G171" i="1"/>
  <c r="G167" i="1"/>
  <c r="G165" i="1"/>
  <c r="J165" i="1"/>
  <c r="C58" i="2" s="1"/>
  <c r="J163" i="1"/>
  <c r="C57" i="2" s="1"/>
  <c r="J161" i="1"/>
  <c r="C56" i="2" s="1"/>
  <c r="G163" i="1"/>
  <c r="J159" i="1"/>
  <c r="C55" i="2" s="1"/>
  <c r="G157" i="1"/>
  <c r="K156" i="1"/>
  <c r="J150" i="1"/>
  <c r="C51" i="2" s="1"/>
  <c r="G148" i="1"/>
  <c r="J140" i="1"/>
  <c r="C48" i="2" s="1"/>
  <c r="G143" i="1"/>
  <c r="G141" i="1"/>
  <c r="K131" i="1"/>
  <c r="J133" i="1"/>
  <c r="C45" i="2" s="1"/>
  <c r="K126" i="1"/>
  <c r="K103" i="1"/>
  <c r="K94" i="1"/>
  <c r="G118" i="1"/>
  <c r="J118" i="1"/>
  <c r="C40" i="2" s="1"/>
  <c r="G122" i="1"/>
  <c r="J114" i="1"/>
  <c r="J104" i="1"/>
  <c r="J102" i="1"/>
  <c r="G102" i="1"/>
  <c r="J98" i="1"/>
  <c r="C33" i="2" s="1"/>
  <c r="J96" i="1"/>
  <c r="C32" i="2" s="1"/>
  <c r="G98" i="1"/>
  <c r="G96" i="1"/>
  <c r="G95" i="1"/>
  <c r="G91" i="1"/>
  <c r="J87" i="1"/>
  <c r="C29" i="2" s="1"/>
  <c r="G87" i="1"/>
  <c r="G71" i="1"/>
  <c r="J85" i="1"/>
  <c r="C28" i="2" s="1"/>
  <c r="G85" i="1"/>
  <c r="C27" i="2"/>
  <c r="J82" i="1"/>
  <c r="J80" i="1" s="1"/>
  <c r="C26" i="2" s="1"/>
  <c r="J64" i="1"/>
  <c r="K77" i="1"/>
  <c r="G79" i="1"/>
  <c r="J75" i="1"/>
  <c r="J71" i="1"/>
  <c r="J74" i="1"/>
  <c r="G74" i="1"/>
  <c r="J69" i="1"/>
  <c r="C23" i="2" s="1"/>
  <c r="G69" i="1"/>
  <c r="G66" i="1"/>
  <c r="G54" i="1"/>
  <c r="J61" i="1"/>
  <c r="C21" i="2" s="1"/>
  <c r="J58" i="1"/>
  <c r="K59" i="1"/>
  <c r="K43" i="1"/>
  <c r="J56" i="1"/>
  <c r="J57" i="1"/>
  <c r="G58" i="1"/>
  <c r="G57" i="1"/>
  <c r="G56" i="1"/>
  <c r="J52" i="1"/>
  <c r="C19" i="2" s="1"/>
  <c r="G52" i="1"/>
  <c r="J49" i="1"/>
  <c r="G49" i="1"/>
  <c r="G47" i="1"/>
  <c r="J47" i="1"/>
  <c r="K9" i="1"/>
  <c r="J44" i="1"/>
  <c r="J41" i="1" s="1"/>
  <c r="C16" i="2" s="1"/>
  <c r="J36" i="1"/>
  <c r="K23" i="1"/>
  <c r="K27" i="1"/>
  <c r="J35" i="1"/>
  <c r="J32" i="1" s="1"/>
  <c r="J34" i="1"/>
  <c r="J31" i="1" s="1"/>
  <c r="G35" i="1"/>
  <c r="J21" i="1"/>
  <c r="C12" i="2" s="1"/>
  <c r="G21" i="1"/>
  <c r="J18" i="1"/>
  <c r="J15" i="1"/>
  <c r="J5" i="1"/>
  <c r="C53" i="2" l="1"/>
  <c r="C38" i="2"/>
  <c r="C70" i="2"/>
  <c r="C17" i="2"/>
  <c r="C34" i="2"/>
  <c r="C68" i="2"/>
  <c r="C24" i="2"/>
  <c r="C63" i="2"/>
  <c r="C65" i="2"/>
  <c r="C22" i="2"/>
  <c r="C43" i="2"/>
  <c r="C42" i="2"/>
  <c r="J25" i="1"/>
  <c r="C14" i="2"/>
  <c r="J24" i="1"/>
  <c r="C18" i="2"/>
  <c r="J54" i="1"/>
  <c r="C20" i="2" s="1"/>
  <c r="J6" i="1"/>
  <c r="C13" i="2" l="1"/>
  <c r="J8" i="1"/>
  <c r="C11" i="2" s="1"/>
  <c r="B7" i="2" l="1"/>
  <c r="B8" i="2"/>
  <c r="B2" i="2"/>
  <c r="B6" i="2" l="1"/>
</calcChain>
</file>

<file path=xl/sharedStrings.xml><?xml version="1.0" encoding="utf-8"?>
<sst xmlns="http://schemas.openxmlformats.org/spreadsheetml/2006/main" count="368" uniqueCount="239">
  <si>
    <t>Document History</t>
  </si>
  <si>
    <t>Name of the Artifact</t>
  </si>
  <si>
    <t>TCS Security QOPD Template</t>
  </si>
  <si>
    <t>Version</t>
  </si>
  <si>
    <t>4.0</t>
  </si>
  <si>
    <t>Release Date</t>
  </si>
  <si>
    <t>Revision History</t>
  </si>
  <si>
    <t>Date</t>
  </si>
  <si>
    <t>Release No.</t>
  </si>
  <si>
    <t>Remarks</t>
  </si>
  <si>
    <t>1.0</t>
  </si>
  <si>
    <t>Formal Release of the document</t>
  </si>
  <si>
    <t>Examples added to the given security quality characteristics</t>
  </si>
  <si>
    <t>2.0</t>
  </si>
  <si>
    <t>Objective based questions for the security quality characteristics.</t>
  </si>
  <si>
    <t>3.0</t>
  </si>
  <si>
    <t>Modified question for password policy based on Internet and intranet criteria. Updated Bypass authentication and Sensitive Data Disclosure line items.</t>
  </si>
  <si>
    <t>3.1</t>
  </si>
  <si>
    <t>1. Auto-approval for Authentication related quetsions when 'No user management module' option against 'User Registartion' is selected.
2. Updated the question for 'Access Control to code  - Program source code'</t>
  </si>
  <si>
    <t>Simplification of questions based on application and deployment type.</t>
  </si>
  <si>
    <t xml:space="preserve">© Copyright [2023], Tata Consultancy Services Limited. All Rights Reserved.
Document ID CGKD009334
Unauthorized access, copying, replication, distribution, transmission, modification, adaptation or translation or use without express written permission is prohibited.  </t>
  </si>
  <si>
    <t>Usage Guidelines</t>
  </si>
  <si>
    <t xml:space="preserve">•  Asset details to be filled by the asset team in the Asset Info sheet. Answer the questions related to the asset in the Contextual Questions table.
• Checklist sheet consists of all the line items that need to be addressed and the report sheet comprises the overall review report including the approval status.
•The Applicability column in the Checklist sheet shows whether that particular line item is applicable or not; if it is 'Yes', then the asset team needs to select an appropriate Option (column F) from the drop down and if it is 'No' or if a row is grayed out it is not applicable and thus, need not be answered. 
•If the asset team selects the Option 'Yes' for any line item where Security Checkpoints is 'Others' or selects the Option 'No' for any line item that recommends something, they have to enter their comments mandatorily in the respective column; else the comments are optional.
•Against any line item:
   - If the asset team wants to reset the value in the Options column, they can simply delete the content in the options column.
   - Auto Approval column indicates whether that particular line item is eligible for auto approval or not. Y-indicates the line item is auto-approved, N not auto-approved and NA the line item is Not Applicable
    - Application teams comments are mandatory for not auto-approved line items.
•Reviewer should update 'Reviewer Evaluation Status' and 'Reviewer Final Comments' when by default the QOPD is not auto-approved.
</t>
  </si>
  <si>
    <t>Asset TIPAR ID</t>
  </si>
  <si>
    <t>Asset Information</t>
  </si>
  <si>
    <t>Asset Name &amp; version</t>
  </si>
  <si>
    <t>Application Category</t>
  </si>
  <si>
    <t>Application Deployment Environment Owned BY</t>
  </si>
  <si>
    <t>Contextual Questions</t>
  </si>
  <si>
    <t>Internet/Intranet facing</t>
  </si>
  <si>
    <t>Does the application deal with business sensitive data like financial information like payment processing, business finance data storage?</t>
  </si>
  <si>
    <t>Does the application deal with Personal sensitive information like Aadhar/SSN PII/PHI or Personal sensitive financial information like credit card details?</t>
  </si>
  <si>
    <t>Authentication</t>
  </si>
  <si>
    <t xml:space="preserve">NFR </t>
  </si>
  <si>
    <t>Category</t>
  </si>
  <si>
    <t>Radio Options</t>
  </si>
  <si>
    <t>Security Checkpoints</t>
  </si>
  <si>
    <t>Applicability</t>
  </si>
  <si>
    <t>Option</t>
  </si>
  <si>
    <t>Application Team comments</t>
  </si>
  <si>
    <t>Reviewer Comments</t>
  </si>
  <si>
    <t>Auto Approval</t>
  </si>
  <si>
    <t>User registration</t>
  </si>
  <si>
    <t>Does the application provide the option of self-registration to the users?</t>
  </si>
  <si>
    <t>Does the admin registers the user?</t>
  </si>
  <si>
    <t>Does the application provide the option of self-registration to the users along with the possibility for admin to register the users?</t>
  </si>
  <si>
    <t>Others</t>
  </si>
  <si>
    <t>N</t>
  </si>
  <si>
    <t>Is a random password generated and shared with the user through auto-mailer option when admin registers the user?</t>
  </si>
  <si>
    <t>Is  a default password shared with the user with limited activation time when admin registers the user?</t>
  </si>
  <si>
    <t>Is it a random/default password shared with user by admin when admin registers the user?</t>
  </si>
  <si>
    <t>Is an activation link shared with the users to set their own password when admin registers the user?</t>
  </si>
  <si>
    <t>User registers themselves into the application by following the defined password policy and has a functionality where the admin also registers the user Random password is generated and shared with user through auto mail Recommend to force the user to change the password on first login.</t>
  </si>
  <si>
    <t>User registers himself/herself into the application by following the defined password policy, and has a functionality where the admin also registers the user. Default password is shared with user with limited activation time.Recommend to mandate the user to change the password on first login.</t>
  </si>
  <si>
    <t>Is it mandatory for the users to change their password after the first login?</t>
  </si>
  <si>
    <t>User registers himself/herself into the application by following the defined password policy,and has a functionality where the admin also registers the user. Where random password is generated and shared with user through auto-mailer and the user is forced to change the password on first login.</t>
  </si>
  <si>
    <t>User registers himself/herself into the application by following the defined password policy, and has a functionality where the admin also registers the user. Default password is shared with user with limited activation time and the user is mandated to change the password on first login.</t>
  </si>
  <si>
    <t>User is registered by Admin. Random password is generated and shared with user through auto-mailer and the user is forced to change the password on first login.</t>
  </si>
  <si>
    <t>User is registered by Admin. Default password is shared with user with limited activation time and the user is mandated to change the password on first login.</t>
  </si>
  <si>
    <t>3.2.1</t>
  </si>
  <si>
    <t>3.2.2</t>
  </si>
  <si>
    <t>User identification and authentication</t>
  </si>
  <si>
    <t>Is the user identified and authenticated using the username and credentials stored in the system?</t>
  </si>
  <si>
    <t>NA</t>
  </si>
  <si>
    <t>User password management</t>
  </si>
  <si>
    <t>Does the application allow the user to reset password incase user forgets the password?</t>
  </si>
  <si>
    <t>Does the application allow admin to reset the password incase user forgets the password?</t>
  </si>
  <si>
    <t>Is the user prompted to enter Security/Secret question and answer?</t>
  </si>
  <si>
    <t>1.1.1</t>
  </si>
  <si>
    <t>Is OTP validation implemented?</t>
  </si>
  <si>
    <t>1.1.2</t>
  </si>
  <si>
    <t>Is a password reset link shared with users through mail to set their own password?</t>
  </si>
  <si>
    <t>Is a default password shared with the user with limited activation time?</t>
  </si>
  <si>
    <t>2.1.1</t>
  </si>
  <si>
    <t>Is it mandatory to change the password after the first login?</t>
  </si>
  <si>
    <t>2.2.1</t>
  </si>
  <si>
    <t>Password policy</t>
  </si>
  <si>
    <t>Authentication Methods 
(One-way, Multi-factor etc.)</t>
  </si>
  <si>
    <t>Storage of credential</t>
  </si>
  <si>
    <t>Does the application store user crendentials in DB by salting and hashing it?</t>
  </si>
  <si>
    <t>Does the application uses slow hashing algorithms like scrypt/bcrypt/PBKDF2WithHMACSHA256.PBKDF2WithHMACSHA512/Argon2id?</t>
  </si>
  <si>
    <t>Storage of any other authentication secret</t>
  </si>
  <si>
    <t>Does the application stores system secrets like DB password or FTP credentials or any such system secrets?</t>
  </si>
  <si>
    <t>Yes</t>
  </si>
  <si>
    <t>Does the application stores system secrets in an encrypted format. For example AES256 with GCM encryption mode?</t>
  </si>
  <si>
    <t>User enumeration</t>
  </si>
  <si>
    <t>Does the application throw a generic error message  like 'Invalid credentials'/'Invalid username or password' , incase of invalid username/password during authentication?</t>
  </si>
  <si>
    <t>No</t>
  </si>
  <si>
    <t>Default or guessable user account or credentials</t>
  </si>
  <si>
    <t>Does the application has validation for guessable usernames like admin, super admin and guessable passwords like P@ssword1, Admin123,Superadmin12345?</t>
  </si>
  <si>
    <t>Account lockout and reopening</t>
  </si>
  <si>
    <t xml:space="preserve">Does the application has account lockout after 3 or 5 invalid attempts? </t>
  </si>
  <si>
    <t>Does admin unlock the user account?</t>
  </si>
  <si>
    <t>Does the account gets unlocked automatically after 24 hours?</t>
  </si>
  <si>
    <t>Does the user enter security question and answer to unlock the account?</t>
  </si>
  <si>
    <t xml:space="preserve">11 
</t>
  </si>
  <si>
    <t>Brute force login Attack</t>
  </si>
  <si>
    <t>Does the application has defined password policy, account lockout, and secure storage of credentials?</t>
  </si>
  <si>
    <t>Does the application block the IP address if more invalid attempts are attempted from the same IP address?</t>
  </si>
  <si>
    <t>Bypassing authentication schema</t>
  </si>
  <si>
    <t>Does the application bypass authentication to allow access of functional features?</t>
  </si>
  <si>
    <t>Is it a public access page without the need for user credentials?</t>
  </si>
  <si>
    <t>Logout and Browser Cache management</t>
  </si>
  <si>
    <t>Does the application has user logout option available in every page or in the header?</t>
  </si>
  <si>
    <t>Does the application store any sensitive data in browser cache or local storage?</t>
  </si>
  <si>
    <t>Is the browser local cache or local storage cleared on logout?</t>
  </si>
  <si>
    <t>Is the session/token invalidated on logout?</t>
  </si>
  <si>
    <t>CAPTCHA</t>
  </si>
  <si>
    <t>Does the application have public pages that don't require authentication like login or feedback page?</t>
  </si>
  <si>
    <t>Is CAPTCHA enforced?</t>
  </si>
  <si>
    <t>Are you using any 3rd party or standard CAPTCHA libraries?</t>
  </si>
  <si>
    <t>1.1.1.1</t>
  </si>
  <si>
    <t>Is CAPTCHA generation logic available on the server side?</t>
  </si>
  <si>
    <t>Profile Cloning</t>
  </si>
  <si>
    <t>Do you allow multiple sessions at the same time for the same user account</t>
  </si>
  <si>
    <t>Authorization</t>
  </si>
  <si>
    <t>User Access and Privilege management</t>
  </si>
  <si>
    <t>Is it a single role application?</t>
  </si>
  <si>
    <t>Is it a multi role application?</t>
  </si>
  <si>
    <t>Is the authorization checked before each transaction on the server side irrespective of the checks done on the client side?</t>
  </si>
  <si>
    <t>Grant of access to systems and business applications</t>
  </si>
  <si>
    <t>Non Predictable Session Identifier or tokens</t>
  </si>
  <si>
    <t>Are session Identifiers or tokens created in non-predictable format by using proven frameworks  like Spring Security, Django, Rails, JWT, OAuth, SAML and so on.</t>
  </si>
  <si>
    <t>Session or token time-out</t>
  </si>
  <si>
    <t>Does the application have session  or token timeout configured?</t>
  </si>
  <si>
    <t>Is it ensured to configure session or token timeout for 15-30 mins?</t>
  </si>
  <si>
    <t>Restricted File access</t>
  </si>
  <si>
    <t>Does the application restrict request methods like put and delete in case of file accessing requests?</t>
  </si>
  <si>
    <t>Path traversal</t>
  </si>
  <si>
    <t>Does the application accept file input details from user while processing any file?</t>
  </si>
  <si>
    <t>Does the application validate the user input for absolute(“ / ” or “/abs/path” or “\\UNC\path\filename”) or relative (“ ../ ” or “../../path”) sequences and their variations to traverse/manipulate files in the application or the file system</t>
  </si>
  <si>
    <t>Horizontal privilege escalation</t>
  </si>
  <si>
    <t>Does the application validates on the server side and restrict the functionalities or page access of another user with the same user role? For example, a scenario where two users having the same privileges are accessing each other's pages..</t>
  </si>
  <si>
    <t>Vertical privilege escalation</t>
  </si>
  <si>
    <t>Does the application validates on the server side and restrict the functionalities or page access of another user with a role that has higher privileges? For example, a scenario where a normal user is trying to access admin pages..</t>
  </si>
  <si>
    <t>Session Identifier/token storage</t>
  </si>
  <si>
    <t>Are the session identifiers and tokens stored in persistent storage?</t>
  </si>
  <si>
    <t>Are the session identifiers or tokens stored in the server in-memory?</t>
  </si>
  <si>
    <t>Are the session identifiers or tokens removed from the persistent storage on invalidation of the user session?</t>
  </si>
  <si>
    <t>Cookie Attributes</t>
  </si>
  <si>
    <t>Is the cookie secure flag, http-only attribute and samesite=strict cookie enabled?</t>
  </si>
  <si>
    <t>Does the application store any sensitive data in cookies like password, user-id, authentication information or any business sensitive data?</t>
  </si>
  <si>
    <t>Session Fixation</t>
  </si>
  <si>
    <t>Are new access tokens/session ids/API keys generated after every new authentication?</t>
  </si>
  <si>
    <t>Confidentiality</t>
  </si>
  <si>
    <t>Electronic messaging</t>
  </si>
  <si>
    <t>Does such communications happens over a secure channel like https, secure smtp, secure jms, or sftp?</t>
  </si>
  <si>
    <t>Access Control to code  - Program source code</t>
  </si>
  <si>
    <t>Is the application deployable obfuscated or deployed in a binary format?</t>
  </si>
  <si>
    <t>Is the access to the deployable restricted to only authorized users?</t>
  </si>
  <si>
    <t>Access Control to data
  - Sensitive data
  - Processing and storage data</t>
  </si>
  <si>
    <t>Data security in transit</t>
  </si>
  <si>
    <t>Does the data transit happen over secure channels like HTTPS, Secure JMS, Secure SMTP, or SFTP?</t>
  </si>
  <si>
    <t>Data security in storage</t>
  </si>
  <si>
    <t>Is the data in storage secured by encrypting the data using future proof encryption algorithms like AES?</t>
  </si>
  <si>
    <t>Key management</t>
  </si>
  <si>
    <t>Are the keys used for encryption stored in a secure way that is using java keystore or vault?</t>
  </si>
  <si>
    <t>Are the keys rotated periodically?</t>
  </si>
  <si>
    <t>Sensitive data disclosure</t>
  </si>
  <si>
    <t>Does the application handle exceptions properly so that they do not reveal server or run-time environment output to the end user.</t>
  </si>
  <si>
    <t>Accountability</t>
  </si>
  <si>
    <t>Audit logging</t>
  </si>
  <si>
    <t>Monitoring system use</t>
  </si>
  <si>
    <t>Are the logs analysed periodically?</t>
  </si>
  <si>
    <t>Is the log analysis done manually?</t>
  </si>
  <si>
    <t>Is the log analysis done automatically using some SIEM tools?</t>
  </si>
  <si>
    <t>Protection of log information</t>
  </si>
  <si>
    <t>Are the logs protected from unautorized access?</t>
  </si>
  <si>
    <t>Are the logs maintained on a separate server or storage?</t>
  </si>
  <si>
    <t>Administrator and operator logs</t>
  </si>
  <si>
    <t>Are the logs maintained separately for administrator actions and operator actions like system login and so on?</t>
  </si>
  <si>
    <t>Fault logging</t>
  </si>
  <si>
    <t>Does the application logs all errors?</t>
  </si>
  <si>
    <t>Does the application logs any sensitive data while logging the errors.</t>
  </si>
  <si>
    <t>Is the sensitive data logged in an encrypted format?</t>
  </si>
  <si>
    <t>Audit trail storage</t>
  </si>
  <si>
    <t>Is the audit-trail enabled for critical transactions?</t>
  </si>
  <si>
    <t>Are the audit-trail files periodically backed up on a different server?</t>
  </si>
  <si>
    <t>Traceability for critical events</t>
  </si>
  <si>
    <t>Are Logs &amp; Audit trails logged in a way to be able to reconstruct events that is maintain log or audit trail for every action in the critical event?</t>
  </si>
  <si>
    <t>Log parsing &amp; filtering</t>
  </si>
  <si>
    <t>Audit trail access permissions</t>
  </si>
  <si>
    <t>Is access for audit trails restricted ?</t>
  </si>
  <si>
    <t>Integrity</t>
  </si>
  <si>
    <t>Data Correctness and Consistency 
(for Online transactions)</t>
  </si>
  <si>
    <t>Does the Application deals with online transactions.</t>
  </si>
  <si>
    <t>Is the data consistency and correctness maitained by properly rolling back the transactions incase of transaction failures.</t>
  </si>
  <si>
    <t>Public information validation 
(for regulatory aspects)</t>
  </si>
  <si>
    <t>Input data validation</t>
  </si>
  <si>
    <t>Output data validation</t>
  </si>
  <si>
    <t>Does the application validates and encodes(HTML encoding/CSS encoding/URL encoding/JS encoding) the response data before rendering on the screen to avoid any sreen distortions incase of data manipulations?</t>
  </si>
  <si>
    <t>Browser security</t>
  </si>
  <si>
    <t>Does the application enable Content Security Policy or CORS or X-Frame options or HSTS header, X-Content type options, cache-control?</t>
  </si>
  <si>
    <t>SSL/TLS</t>
  </si>
  <si>
    <t>Is TLSv1.2 or above used?</t>
  </si>
  <si>
    <t>SQL injection</t>
  </si>
  <si>
    <t>Are you parameterizing the queries to prevent SQL injection?</t>
  </si>
  <si>
    <t>Does the application perform strong type checking of input parameters (especially for characters such as single quote, double dash, ampersand, hash, slash, and semicolon)?</t>
  </si>
  <si>
    <t>LDAP injection</t>
  </si>
  <si>
    <t>Is Least privilege provided to system account connecting to LDAP?</t>
  </si>
  <si>
    <t>Does the application perform strong type checking of input parameters  (especially for meta characters such as  comma, group parenthesis, pipe, asterisk, exclamation and ampersand)?</t>
  </si>
  <si>
    <t>XML injection</t>
  </si>
  <si>
    <t>Does the application perform strong type checking of input parameters (Single quote: ', Double quote: ", Angular parentheses: &gt; and &lt;, Comment tag: &lt;!--/--&gt;, Ampersand: &amp;, CDATA section delimiters: &lt;![CDATA[ / ]]&gt;) before incorportaing into XML document?</t>
  </si>
  <si>
    <t>XPath injection</t>
  </si>
  <si>
    <t>Code execution</t>
  </si>
  <si>
    <t>Does the application allow native system calls?</t>
  </si>
  <si>
    <t>Does the application ensures that system calls are not derived from user input and have strong input validation?</t>
  </si>
  <si>
    <t>File processing</t>
  </si>
  <si>
    <t>Does the application process files like file upload or batch processing of files?</t>
  </si>
  <si>
    <t>Does the application validate the length, type, MIME type and size of the files?</t>
  </si>
  <si>
    <t>Email functionality</t>
  </si>
  <si>
    <t>Does the application has email functionality?</t>
  </si>
  <si>
    <t>Is secure SMTP used ?</t>
  </si>
  <si>
    <t>Stack and Heap overflow</t>
  </si>
  <si>
    <t>Are secure programming guidelines used to avoid Stack overflow (going into indefinite loops) and heap overflow issues? (memory exhaustion issues)</t>
  </si>
  <si>
    <t>Integer overflow</t>
  </si>
  <si>
    <t>Are secure programming guidelines used to avoid overflow issues like proper usage of variable types or proper typecasting of variables?</t>
  </si>
  <si>
    <t>Non Repudiation</t>
  </si>
  <si>
    <t>Utilization of Digital Signature</t>
  </si>
  <si>
    <t>Does the application generate any confidential report that need to be digitally signed by authorized entity?</t>
  </si>
  <si>
    <t>Are the certificates stored securely in a vault or any similar secure storages.</t>
  </si>
  <si>
    <t>Availability</t>
  </si>
  <si>
    <t>Computational and storage resource exhaust</t>
  </si>
  <si>
    <t>Does the applictaion have proper input validations, rate limit and in-built throttling to ensure optimal usage of resources?</t>
  </si>
  <si>
    <t>Race condition</t>
  </si>
  <si>
    <t>Does the application deals with parallel processing of data i.e., the action being performed on the same data by multiple users or transactions?</t>
  </si>
  <si>
    <t>Does the application has proper locking mechanisms to avoid dead lock conditions?</t>
  </si>
  <si>
    <t>QOPD Evaluation Status</t>
  </si>
  <si>
    <t>Reviewer Evaluation Status</t>
  </si>
  <si>
    <t>Reviewer Final Comments</t>
  </si>
  <si>
    <t>Total Applicable Checklist Items</t>
  </si>
  <si>
    <t>Total Autoapproved</t>
  </si>
  <si>
    <t>Total Not Autoapproved</t>
  </si>
  <si>
    <t>Security Foundation Parameter</t>
  </si>
  <si>
    <t>Checklist category</t>
  </si>
  <si>
    <t>Approval Status</t>
  </si>
  <si>
    <t>User Registration</t>
  </si>
  <si>
    <t>Key Management</t>
  </si>
  <si>
    <t>Non repudiation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</si>
</sst>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indexed="8"/>
      <name val="Calibri"/>
      <family val="2"/>
      <charset val="1"/>
    </font>
    <font>
      <sz val="11"/>
      <color indexed="8"/>
      <name val="Calibri"/>
      <family val="2"/>
    </font>
    <font>
      <sz val="9"/>
      <color indexed="8"/>
      <name val="Calibri"/>
      <family val="2"/>
    </font>
    <font>
      <sz val="9"/>
      <name val="Calibri"/>
      <family val="2"/>
    </font>
    <font>
      <sz val="9"/>
      <color indexed="8"/>
      <name val="Calibri"/>
      <family val="2"/>
      <charset val="1"/>
    </font>
    <font>
      <sz val="9"/>
      <color theme="1"/>
      <name val="Calibri"/>
      <family val="2"/>
      <scheme val="minor"/>
    </font>
    <font>
      <sz val="9"/>
      <color rgb="FF444444"/>
      <name val="Calibri"/>
      <family val="2"/>
      <charset val="1"/>
    </font>
    <font>
      <sz val="11"/>
      <color rgb="FF444444"/>
      <name val="Calibri"/>
      <family val="2"/>
      <charset val="1"/>
    </font>
    <font>
      <sz val="9"/>
      <color rgb="FF000000"/>
      <name val="Calibri"/>
      <family val="2"/>
    </font>
    <font>
      <sz val="9"/>
      <color rgb="FF000000"/>
      <name val="Calibri"/>
      <family val="2"/>
      <charset val="1"/>
    </font>
    <font>
      <sz val="9"/>
      <color theme="1"/>
      <name val="Calibri"/>
      <family val="2"/>
    </font>
    <font>
      <b/>
      <sz val="10"/>
      <color theme="1"/>
      <name val="Calibri"/>
      <family val="2"/>
      <scheme val="minor"/>
    </font>
    <font>
      <sz val="10"/>
      <color theme="1"/>
      <name val="Calibri"/>
      <family val="2"/>
      <scheme val="minor"/>
    </font>
    <font>
      <b/>
      <sz val="10"/>
      <color theme="0"/>
      <name val="Calibri"/>
      <family val="2"/>
      <scheme val="minor"/>
    </font>
    <font>
      <b/>
      <sz val="11"/>
      <color theme="0"/>
      <name val="Calibri"/>
      <family val="2"/>
    </font>
    <font>
      <b/>
      <sz val="10"/>
      <color theme="0"/>
      <name val="Calibri"/>
      <family val="2"/>
    </font>
    <font>
      <sz val="11"/>
      <name val="Calibri"/>
      <family val="2"/>
      <scheme val="minor"/>
    </font>
    <font>
      <b/>
      <sz val="16"/>
      <color rgb="FFFF0000"/>
      <name val="Calibri"/>
      <family val="2"/>
      <scheme val="minor"/>
    </font>
  </fonts>
  <fills count="10">
    <fill>
      <patternFill patternType="none"/>
    </fill>
    <fill>
      <patternFill patternType="gray125"/>
    </fill>
    <fill>
      <patternFill patternType="solid">
        <fgColor rgb="FFA9D08E"/>
        <bgColor indexed="64"/>
      </patternFill>
    </fill>
    <fill>
      <patternFill patternType="solid">
        <fgColor rgb="FFFFFFFF"/>
        <bgColor indexed="64"/>
      </patternFill>
    </fill>
    <fill>
      <patternFill patternType="solid">
        <fgColor rgb="FFE41165"/>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theme="1" tint="0.34998626667073579"/>
        <bgColor indexed="48"/>
      </patternFill>
    </fill>
    <fill>
      <patternFill patternType="solid">
        <fgColor rgb="FFE41165"/>
        <bgColor indexed="27"/>
      </patternFill>
    </fill>
    <fill>
      <patternFill patternType="solid">
        <fgColor theme="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rgb="FF000000"/>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8"/>
      </right>
      <top/>
      <bottom/>
      <diagonal/>
    </border>
    <border>
      <left/>
      <right/>
      <top style="thin">
        <color indexed="64"/>
      </top>
      <bottom/>
      <diagonal/>
    </border>
    <border>
      <left style="thin">
        <color rgb="FF000000"/>
      </left>
      <right style="thin">
        <color rgb="FF000000"/>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3">
    <xf numFmtId="0" fontId="0" fillId="0" borderId="0"/>
    <xf numFmtId="0" fontId="1" fillId="0" borderId="0"/>
    <xf numFmtId="0" fontId="2" fillId="0" borderId="0"/>
  </cellStyleXfs>
  <cellXfs count="260">
    <xf numFmtId="0" fontId="0" fillId="0" borderId="0" xfId="0"/>
    <xf numFmtId="0" fontId="0" fillId="0" borderId="3" xfId="0" applyBorder="1" applyAlignment="1">
      <alignment vertical="top"/>
    </xf>
    <xf numFmtId="0" fontId="4" fillId="0" borderId="23" xfId="2" applyFont="1" applyBorder="1" applyAlignment="1" applyProtection="1">
      <alignment horizontal="left" vertical="top" wrapText="1"/>
      <protection hidden="1"/>
    </xf>
    <xf numFmtId="0" fontId="4" fillId="0" borderId="4" xfId="2" applyFont="1" applyBorder="1" applyAlignment="1" applyProtection="1">
      <alignment horizontal="left" vertical="top" wrapText="1"/>
      <protection hidden="1"/>
    </xf>
    <xf numFmtId="0" fontId="7" fillId="0" borderId="0" xfId="0" quotePrefix="1" applyFont="1" applyAlignment="1" applyProtection="1">
      <alignment vertical="top" wrapText="1"/>
      <protection hidden="1"/>
    </xf>
    <xf numFmtId="0" fontId="4" fillId="0" borderId="8" xfId="2" applyFont="1" applyBorder="1" applyAlignment="1" applyProtection="1">
      <alignment horizontal="left" vertical="top" wrapText="1"/>
      <protection hidden="1"/>
    </xf>
    <xf numFmtId="0" fontId="4" fillId="0" borderId="16" xfId="2" applyFont="1" applyBorder="1" applyAlignment="1" applyProtection="1">
      <alignment horizontal="left" vertical="top" wrapText="1"/>
      <protection hidden="1"/>
    </xf>
    <xf numFmtId="0" fontId="3" fillId="0" borderId="2" xfId="2" applyFont="1" applyBorder="1" applyAlignment="1" applyProtection="1">
      <alignment horizontal="center" vertical="top" wrapText="1"/>
      <protection locked="0"/>
    </xf>
    <xf numFmtId="0" fontId="3" fillId="0" borderId="3" xfId="2" applyFont="1" applyBorder="1" applyAlignment="1" applyProtection="1">
      <alignment horizontal="center" vertical="top" wrapText="1"/>
      <protection locked="0"/>
    </xf>
    <xf numFmtId="0" fontId="4" fillId="0" borderId="4" xfId="2" applyFont="1" applyBorder="1" applyAlignment="1" applyProtection="1">
      <alignment horizontal="left" vertical="top" wrapText="1"/>
      <protection locked="0"/>
    </xf>
    <xf numFmtId="0" fontId="3" fillId="0" borderId="5" xfId="2" applyFont="1" applyBorder="1" applyAlignment="1" applyProtection="1">
      <alignment horizontal="center" vertical="top" wrapText="1"/>
      <protection locked="0"/>
    </xf>
    <xf numFmtId="0" fontId="3" fillId="0" borderId="7" xfId="2" applyFont="1" applyBorder="1" applyAlignment="1" applyProtection="1">
      <alignment horizontal="center" vertical="top" wrapText="1"/>
      <protection locked="0"/>
    </xf>
    <xf numFmtId="0" fontId="0" fillId="0" borderId="0" xfId="0" applyProtection="1">
      <protection locked="0"/>
    </xf>
    <xf numFmtId="0" fontId="3" fillId="2" borderId="14" xfId="2" applyFont="1" applyFill="1" applyBorder="1" applyAlignment="1" applyProtection="1">
      <alignment horizontal="left" vertical="top" wrapText="1"/>
      <protection locked="0"/>
    </xf>
    <xf numFmtId="0" fontId="4" fillId="0" borderId="0" xfId="2" applyFont="1" applyAlignment="1" applyProtection="1">
      <alignment horizontal="left" vertical="top" wrapText="1"/>
      <protection locked="0"/>
    </xf>
    <xf numFmtId="0" fontId="0" fillId="0" borderId="0" xfId="0" applyAlignment="1" applyProtection="1">
      <alignment wrapText="1"/>
      <protection locked="0"/>
    </xf>
    <xf numFmtId="0" fontId="3" fillId="2" borderId="5" xfId="2" applyFont="1" applyFill="1" applyBorder="1" applyAlignment="1" applyProtection="1">
      <alignment horizontal="left" vertical="top" wrapText="1"/>
      <protection locked="0"/>
    </xf>
    <xf numFmtId="0" fontId="6" fillId="0" borderId="3" xfId="0" applyFont="1" applyBorder="1" applyAlignment="1" applyProtection="1">
      <alignment vertical="top" wrapText="1"/>
      <protection locked="0"/>
    </xf>
    <xf numFmtId="0" fontId="6" fillId="0" borderId="10" xfId="0" applyFont="1" applyBorder="1" applyAlignment="1" applyProtection="1">
      <alignment vertical="top" wrapText="1"/>
      <protection locked="0"/>
    </xf>
    <xf numFmtId="0" fontId="0" fillId="0" borderId="6" xfId="0" applyBorder="1" applyAlignment="1" applyProtection="1">
      <alignment wrapText="1"/>
      <protection locked="0"/>
    </xf>
    <xf numFmtId="0" fontId="3" fillId="3" borderId="7" xfId="2" applyFont="1" applyFill="1" applyBorder="1" applyAlignment="1" applyProtection="1">
      <alignment horizontal="center" vertical="top" wrapText="1"/>
      <protection locked="0"/>
    </xf>
    <xf numFmtId="0" fontId="6" fillId="0" borderId="7" xfId="0" applyFont="1" applyBorder="1" applyAlignment="1" applyProtection="1">
      <alignment vertical="top" wrapText="1"/>
      <protection locked="0"/>
    </xf>
    <xf numFmtId="0" fontId="6" fillId="0" borderId="8" xfId="0" applyFont="1" applyBorder="1" applyAlignment="1" applyProtection="1">
      <alignment vertical="top" wrapText="1"/>
      <protection locked="0"/>
    </xf>
    <xf numFmtId="0" fontId="0" fillId="0" borderId="5" xfId="0" applyBorder="1" applyAlignment="1" applyProtection="1">
      <alignment wrapText="1"/>
      <protection locked="0"/>
    </xf>
    <xf numFmtId="0" fontId="6" fillId="0" borderId="4" xfId="0" applyFont="1" applyBorder="1" applyAlignment="1" applyProtection="1">
      <alignment vertical="top" wrapText="1"/>
      <protection locked="0"/>
    </xf>
    <xf numFmtId="0" fontId="3" fillId="0" borderId="11" xfId="2" applyFont="1" applyBorder="1" applyAlignment="1" applyProtection="1">
      <alignment horizontal="center" vertical="top" wrapText="1"/>
      <protection locked="0"/>
    </xf>
    <xf numFmtId="0" fontId="6" fillId="0" borderId="16" xfId="0" applyFont="1" applyBorder="1" applyAlignment="1" applyProtection="1">
      <alignment vertical="top" wrapText="1"/>
      <protection locked="0"/>
    </xf>
    <xf numFmtId="0" fontId="3" fillId="0" borderId="25" xfId="2" applyFont="1" applyBorder="1" applyAlignment="1" applyProtection="1">
      <alignment horizontal="center" vertical="top" wrapText="1"/>
      <protection locked="0"/>
    </xf>
    <xf numFmtId="0" fontId="6" fillId="0" borderId="25" xfId="0" applyFont="1" applyBorder="1" applyAlignment="1" applyProtection="1">
      <alignment vertical="top" wrapText="1"/>
      <protection locked="0"/>
    </xf>
    <xf numFmtId="0" fontId="6" fillId="0" borderId="11" xfId="0" applyFont="1" applyBorder="1" applyAlignment="1" applyProtection="1">
      <alignment vertical="top" wrapText="1"/>
      <protection locked="0"/>
    </xf>
    <xf numFmtId="0" fontId="3" fillId="0" borderId="6" xfId="2" applyFont="1" applyBorder="1" applyAlignment="1" applyProtection="1">
      <alignment horizontal="center" vertical="top" wrapText="1"/>
      <protection locked="0"/>
    </xf>
    <xf numFmtId="0" fontId="6" fillId="0" borderId="3" xfId="0" applyFont="1" applyBorder="1" applyAlignment="1" applyProtection="1">
      <alignment horizontal="center" vertical="top" wrapText="1"/>
      <protection locked="0"/>
    </xf>
    <xf numFmtId="0" fontId="3" fillId="2" borderId="3" xfId="2" applyFont="1" applyFill="1" applyBorder="1" applyAlignment="1" applyProtection="1">
      <alignment horizontal="left" vertical="top" wrapText="1"/>
      <protection locked="0"/>
    </xf>
    <xf numFmtId="0" fontId="3" fillId="3" borderId="3" xfId="2" applyFont="1" applyFill="1" applyBorder="1" applyAlignment="1" applyProtection="1">
      <alignment horizontal="center" vertical="top" wrapText="1"/>
      <protection locked="0"/>
    </xf>
    <xf numFmtId="0" fontId="3" fillId="2" borderId="29" xfId="2" applyFont="1" applyFill="1" applyBorder="1" applyAlignment="1" applyProtection="1">
      <alignment horizontal="left" vertical="top" wrapText="1"/>
      <protection locked="0"/>
    </xf>
    <xf numFmtId="0" fontId="3" fillId="3" borderId="27" xfId="2" applyFont="1" applyFill="1" applyBorder="1" applyAlignment="1" applyProtection="1">
      <alignment horizontal="center" vertical="top" wrapText="1"/>
      <protection locked="0"/>
    </xf>
    <xf numFmtId="0" fontId="3" fillId="0" borderId="3" xfId="2" applyFont="1" applyBorder="1" applyAlignment="1" applyProtection="1">
      <alignment horizontal="left" vertical="top" wrapText="1"/>
      <protection locked="0"/>
    </xf>
    <xf numFmtId="0" fontId="3" fillId="0" borderId="4" xfId="2" applyFont="1" applyBorder="1" applyAlignment="1" applyProtection="1">
      <alignment horizontal="center" vertical="top" wrapText="1"/>
      <protection locked="0"/>
    </xf>
    <xf numFmtId="0" fontId="3" fillId="0" borderId="12" xfId="2" applyFont="1" applyBorder="1" applyAlignment="1" applyProtection="1">
      <alignment horizontal="left" vertical="top" wrapText="1"/>
      <protection locked="0"/>
    </xf>
    <xf numFmtId="0" fontId="3" fillId="3" borderId="12" xfId="2" applyFont="1" applyFill="1" applyBorder="1" applyAlignment="1" applyProtection="1">
      <alignment horizontal="center" vertical="top" wrapText="1"/>
      <protection locked="0"/>
    </xf>
    <xf numFmtId="0" fontId="3" fillId="2" borderId="17" xfId="2" applyFont="1" applyFill="1" applyBorder="1" applyAlignment="1" applyProtection="1">
      <alignment horizontal="left" vertical="top" wrapText="1"/>
      <protection locked="0"/>
    </xf>
    <xf numFmtId="0" fontId="3" fillId="0" borderId="12" xfId="2" applyFont="1" applyBorder="1" applyAlignment="1" applyProtection="1">
      <alignment horizontal="center" vertical="top" wrapText="1"/>
      <protection locked="0"/>
    </xf>
    <xf numFmtId="0" fontId="3" fillId="2" borderId="19" xfId="2" applyFont="1" applyFill="1" applyBorder="1" applyAlignment="1" applyProtection="1">
      <alignment horizontal="left" vertical="top" wrapText="1"/>
      <protection locked="0"/>
    </xf>
    <xf numFmtId="0" fontId="3" fillId="0" borderId="1" xfId="2" applyFont="1" applyBorder="1" applyAlignment="1" applyProtection="1">
      <alignment horizontal="center" vertical="top" wrapText="1"/>
      <protection locked="0"/>
    </xf>
    <xf numFmtId="0" fontId="3" fillId="0" borderId="19" xfId="2" applyFont="1" applyBorder="1" applyAlignment="1" applyProtection="1">
      <alignment horizontal="left" vertical="top" wrapText="1"/>
      <protection locked="0"/>
    </xf>
    <xf numFmtId="0" fontId="6" fillId="0" borderId="3" xfId="0" applyFont="1" applyBorder="1" applyAlignment="1" applyProtection="1">
      <alignment horizontal="left" vertical="top" wrapText="1"/>
      <protection locked="0"/>
    </xf>
    <xf numFmtId="0" fontId="3" fillId="0" borderId="0" xfId="2" applyFont="1" applyAlignment="1" applyProtection="1">
      <alignment horizontal="left" vertical="top" wrapText="1"/>
      <protection locked="0"/>
    </xf>
    <xf numFmtId="0" fontId="4" fillId="2" borderId="19" xfId="2" applyFont="1" applyFill="1" applyBorder="1" applyAlignment="1" applyProtection="1">
      <alignment horizontal="left" vertical="top" wrapText="1"/>
      <protection locked="0"/>
    </xf>
    <xf numFmtId="0" fontId="4" fillId="0" borderId="19" xfId="2" applyFont="1" applyBorder="1" applyAlignment="1" applyProtection="1">
      <alignment horizontal="left" vertical="top" wrapText="1"/>
      <protection locked="0"/>
    </xf>
    <xf numFmtId="0" fontId="4" fillId="2" borderId="21" xfId="2" applyFont="1" applyFill="1" applyBorder="1" applyAlignment="1" applyProtection="1">
      <alignment horizontal="left" vertical="top" wrapText="1"/>
      <protection locked="0"/>
    </xf>
    <xf numFmtId="0" fontId="3" fillId="2" borderId="19" xfId="2" applyFont="1" applyFill="1" applyBorder="1" applyAlignment="1" applyProtection="1">
      <alignment vertical="top" wrapText="1"/>
      <protection locked="0"/>
    </xf>
    <xf numFmtId="0" fontId="3" fillId="2" borderId="20" xfId="2" applyFont="1" applyFill="1" applyBorder="1" applyAlignment="1" applyProtection="1">
      <alignment vertical="top" wrapText="1"/>
      <protection locked="0"/>
    </xf>
    <xf numFmtId="0" fontId="3" fillId="0" borderId="20" xfId="2" applyFont="1" applyBorder="1" applyAlignment="1" applyProtection="1">
      <alignment vertical="top" wrapText="1"/>
      <protection locked="0"/>
    </xf>
    <xf numFmtId="0" fontId="3" fillId="2" borderId="20" xfId="2" applyFont="1" applyFill="1" applyBorder="1" applyAlignment="1" applyProtection="1">
      <alignment horizontal="left" vertical="top" wrapText="1"/>
      <protection locked="0"/>
    </xf>
    <xf numFmtId="0" fontId="3" fillId="2" borderId="21" xfId="2" applyFont="1" applyFill="1" applyBorder="1" applyAlignment="1" applyProtection="1">
      <alignment horizontal="left" vertical="top" wrapText="1"/>
      <protection locked="0"/>
    </xf>
    <xf numFmtId="0" fontId="3" fillId="2" borderId="1" xfId="2" applyFont="1" applyFill="1" applyBorder="1" applyAlignment="1" applyProtection="1">
      <alignment horizontal="left" vertical="top" wrapText="1"/>
      <protection locked="0"/>
    </xf>
    <xf numFmtId="0" fontId="3" fillId="0" borderId="1" xfId="2" applyFont="1" applyBorder="1" applyAlignment="1" applyProtection="1">
      <alignment horizontal="left" vertical="top" wrapText="1"/>
      <protection locked="0"/>
    </xf>
    <xf numFmtId="0" fontId="3" fillId="2" borderId="2" xfId="2" applyFont="1" applyFill="1" applyBorder="1" applyAlignment="1" applyProtection="1">
      <alignment horizontal="left" vertical="top" wrapText="1"/>
      <protection locked="0"/>
    </xf>
    <xf numFmtId="0" fontId="3" fillId="0" borderId="20" xfId="2" applyFont="1" applyBorder="1" applyAlignment="1" applyProtection="1">
      <alignment horizontal="left" vertical="top" wrapText="1"/>
      <protection locked="0"/>
    </xf>
    <xf numFmtId="0" fontId="3" fillId="0" borderId="28" xfId="2" applyFont="1" applyBorder="1" applyAlignment="1" applyProtection="1">
      <alignment horizontal="center" vertical="top" wrapText="1"/>
      <protection locked="0"/>
    </xf>
    <xf numFmtId="0" fontId="3" fillId="2" borderId="26" xfId="2" applyFont="1" applyFill="1" applyBorder="1" applyAlignment="1" applyProtection="1">
      <alignment horizontal="left" vertical="top" wrapText="1"/>
      <protection locked="0"/>
    </xf>
    <xf numFmtId="0" fontId="9" fillId="2" borderId="3" xfId="0" applyFont="1" applyFill="1" applyBorder="1" applyAlignment="1" applyProtection="1">
      <alignment wrapText="1"/>
      <protection locked="0"/>
    </xf>
    <xf numFmtId="0" fontId="3" fillId="3" borderId="5" xfId="2" applyFont="1" applyFill="1" applyBorder="1" applyAlignment="1" applyProtection="1">
      <alignment horizontal="center" vertical="top" wrapText="1"/>
      <protection locked="0"/>
    </xf>
    <xf numFmtId="0" fontId="6" fillId="0" borderId="0" xfId="0" applyFont="1" applyAlignment="1" applyProtection="1">
      <alignment vertical="top" wrapText="1"/>
      <protection locked="0"/>
    </xf>
    <xf numFmtId="0" fontId="6" fillId="0" borderId="3" xfId="0" applyFont="1" applyBorder="1" applyAlignment="1" applyProtection="1">
      <alignment vertical="top" wrapText="1"/>
      <protection hidden="1"/>
    </xf>
    <xf numFmtId="0" fontId="6" fillId="0" borderId="7" xfId="0" applyFont="1" applyBorder="1" applyAlignment="1" applyProtection="1">
      <alignment vertical="top" wrapText="1"/>
      <protection hidden="1"/>
    </xf>
    <xf numFmtId="0" fontId="4" fillId="0" borderId="3" xfId="2" applyFont="1" applyBorder="1" applyAlignment="1" applyProtection="1">
      <alignment horizontal="left" vertical="top" wrapText="1"/>
      <protection hidden="1"/>
    </xf>
    <xf numFmtId="0" fontId="6" fillId="0" borderId="12" xfId="0" applyFont="1" applyBorder="1" applyAlignment="1" applyProtection="1">
      <alignment vertical="top" wrapText="1"/>
      <protection hidden="1"/>
    </xf>
    <xf numFmtId="0" fontId="6" fillId="0" borderId="4" xfId="0" applyFont="1" applyBorder="1" applyAlignment="1" applyProtection="1">
      <alignment vertical="top" wrapText="1"/>
      <protection hidden="1"/>
    </xf>
    <xf numFmtId="0" fontId="6" fillId="0" borderId="15" xfId="0" applyFont="1" applyBorder="1" applyAlignment="1" applyProtection="1">
      <alignment vertical="top" wrapText="1"/>
      <protection hidden="1"/>
    </xf>
    <xf numFmtId="0" fontId="6" fillId="0" borderId="5" xfId="0" applyFont="1" applyBorder="1" applyAlignment="1" applyProtection="1">
      <alignment vertical="top" wrapText="1"/>
      <protection hidden="1"/>
    </xf>
    <xf numFmtId="0" fontId="6" fillId="0" borderId="6" xfId="0" applyFont="1" applyBorder="1" applyAlignment="1" applyProtection="1">
      <alignment vertical="top" wrapText="1"/>
      <protection hidden="1"/>
    </xf>
    <xf numFmtId="0" fontId="6" fillId="0" borderId="3" xfId="0" applyFont="1" applyBorder="1" applyAlignment="1" applyProtection="1">
      <alignment horizontal="left" vertical="top" wrapText="1"/>
      <protection hidden="1"/>
    </xf>
    <xf numFmtId="0" fontId="6" fillId="0" borderId="7" xfId="0" applyFont="1" applyBorder="1" applyAlignment="1" applyProtection="1">
      <alignment horizontal="left" vertical="top" wrapText="1"/>
      <protection hidden="1"/>
    </xf>
    <xf numFmtId="0" fontId="10" fillId="0" borderId="3" xfId="0" quotePrefix="1" applyFont="1" applyBorder="1" applyAlignment="1" applyProtection="1">
      <alignment horizontal="left" vertical="top" wrapText="1"/>
      <protection hidden="1"/>
    </xf>
    <xf numFmtId="0" fontId="10" fillId="0" borderId="7" xfId="0" quotePrefix="1" applyFont="1" applyBorder="1" applyAlignment="1" applyProtection="1">
      <alignment horizontal="left" vertical="top" wrapText="1"/>
      <protection hidden="1"/>
    </xf>
    <xf numFmtId="0" fontId="6" fillId="0" borderId="12" xfId="0" applyFont="1" applyBorder="1" applyAlignment="1" applyProtection="1">
      <alignment horizontal="left" vertical="top" wrapText="1"/>
      <protection hidden="1"/>
    </xf>
    <xf numFmtId="0" fontId="10" fillId="0" borderId="3" xfId="0" quotePrefix="1" applyFont="1" applyBorder="1" applyAlignment="1" applyProtection="1">
      <alignment vertical="top"/>
      <protection hidden="1"/>
    </xf>
    <xf numFmtId="0" fontId="6" fillId="0" borderId="17" xfId="0" applyFont="1" applyBorder="1" applyAlignment="1" applyProtection="1">
      <alignment vertical="top" wrapText="1"/>
      <protection hidden="1"/>
    </xf>
    <xf numFmtId="0" fontId="6" fillId="0" borderId="3" xfId="0" applyFont="1" applyBorder="1" applyAlignment="1" applyProtection="1">
      <alignment vertical="top"/>
      <protection hidden="1"/>
    </xf>
    <xf numFmtId="0" fontId="6" fillId="0" borderId="22" xfId="0" applyFont="1" applyBorder="1" applyAlignment="1" applyProtection="1">
      <alignment vertical="top" wrapText="1"/>
      <protection hidden="1"/>
    </xf>
    <xf numFmtId="0" fontId="10" fillId="0" borderId="3" xfId="0" quotePrefix="1" applyFont="1" applyBorder="1" applyProtection="1">
      <protection hidden="1"/>
    </xf>
    <xf numFmtId="0" fontId="11" fillId="0" borderId="12" xfId="0" applyFont="1" applyBorder="1" applyAlignment="1" applyProtection="1">
      <alignment vertical="top" wrapText="1"/>
      <protection hidden="1"/>
    </xf>
    <xf numFmtId="0" fontId="11" fillId="0" borderId="3" xfId="0" applyFont="1" applyBorder="1" applyAlignment="1" applyProtection="1">
      <alignment vertical="top" wrapText="1"/>
      <protection hidden="1"/>
    </xf>
    <xf numFmtId="0" fontId="11" fillId="0" borderId="5" xfId="0" applyFont="1" applyBorder="1" applyAlignment="1" applyProtection="1">
      <alignment vertical="top" wrapText="1"/>
      <protection hidden="1"/>
    </xf>
    <xf numFmtId="0" fontId="11" fillId="0" borderId="7" xfId="0" applyFont="1" applyBorder="1" applyAlignment="1" applyProtection="1">
      <alignment vertical="top" wrapText="1"/>
      <protection hidden="1"/>
    </xf>
    <xf numFmtId="0" fontId="0" fillId="0" borderId="0" xfId="0" applyProtection="1">
      <protection hidden="1"/>
    </xf>
    <xf numFmtId="0" fontId="6" fillId="0" borderId="3" xfId="0" applyFont="1" applyBorder="1" applyAlignment="1">
      <alignment vertical="top" wrapText="1"/>
    </xf>
    <xf numFmtId="0" fontId="3" fillId="3" borderId="3" xfId="2" applyFont="1" applyFill="1" applyBorder="1" applyAlignment="1" applyProtection="1">
      <alignment horizontal="left" vertical="top" wrapText="1"/>
      <protection locked="0"/>
    </xf>
    <xf numFmtId="0" fontId="9" fillId="0" borderId="4" xfId="0" applyFont="1" applyBorder="1" applyAlignment="1" applyProtection="1">
      <alignment vertical="top" wrapText="1"/>
      <protection locked="0"/>
    </xf>
    <xf numFmtId="0" fontId="3" fillId="0" borderId="18" xfId="2" applyFont="1" applyBorder="1" applyAlignment="1" applyProtection="1">
      <alignment horizontal="left" vertical="top" wrapText="1"/>
      <protection locked="0"/>
    </xf>
    <xf numFmtId="0" fontId="13" fillId="0" borderId="3" xfId="0" applyFont="1" applyBorder="1" applyAlignment="1" applyProtection="1">
      <alignment wrapText="1"/>
      <protection locked="0"/>
    </xf>
    <xf numFmtId="0" fontId="3" fillId="3" borderId="19" xfId="2" applyFont="1" applyFill="1" applyBorder="1" applyAlignment="1" applyProtection="1">
      <alignment horizontal="left" vertical="top" wrapText="1"/>
      <protection locked="0"/>
    </xf>
    <xf numFmtId="0" fontId="4" fillId="0" borderId="21" xfId="2" applyFont="1" applyBorder="1" applyAlignment="1" applyProtection="1">
      <alignment horizontal="left" vertical="top" wrapText="1"/>
      <protection locked="0"/>
    </xf>
    <xf numFmtId="0" fontId="4" fillId="0" borderId="20" xfId="2" applyFont="1" applyBorder="1" applyAlignment="1" applyProtection="1">
      <alignment horizontal="left" vertical="top" wrapText="1"/>
      <protection locked="0"/>
    </xf>
    <xf numFmtId="0" fontId="3" fillId="0" borderId="19" xfId="2" applyFont="1" applyBorder="1" applyAlignment="1" applyProtection="1">
      <alignment vertical="top" wrapText="1"/>
      <protection locked="0"/>
    </xf>
    <xf numFmtId="0" fontId="3" fillId="3" borderId="19" xfId="2" applyFont="1" applyFill="1" applyBorder="1" applyAlignment="1" applyProtection="1">
      <alignment vertical="top" wrapText="1"/>
      <protection locked="0"/>
    </xf>
    <xf numFmtId="0" fontId="3" fillId="3" borderId="7" xfId="2" applyFont="1" applyFill="1" applyBorder="1" applyAlignment="1" applyProtection="1">
      <alignment vertical="top" wrapText="1"/>
      <protection locked="0"/>
    </xf>
    <xf numFmtId="0" fontId="3" fillId="0" borderId="3" xfId="2" applyFont="1" applyBorder="1" applyAlignment="1" applyProtection="1">
      <alignment vertical="top" wrapText="1"/>
      <protection locked="0"/>
    </xf>
    <xf numFmtId="0" fontId="3" fillId="0" borderId="24" xfId="2" applyFont="1" applyBorder="1" applyAlignment="1" applyProtection="1">
      <alignment horizontal="left" vertical="top" wrapText="1"/>
      <protection locked="0"/>
    </xf>
    <xf numFmtId="0" fontId="3" fillId="0" borderId="21" xfId="2" applyFont="1" applyBorder="1" applyAlignment="1" applyProtection="1">
      <alignment horizontal="left" vertical="top" wrapText="1"/>
      <protection locked="0"/>
    </xf>
    <xf numFmtId="0" fontId="3" fillId="3" borderId="1" xfId="2" applyFont="1" applyFill="1" applyBorder="1" applyAlignment="1" applyProtection="1">
      <alignment horizontal="left" vertical="top" wrapText="1"/>
      <protection locked="0"/>
    </xf>
    <xf numFmtId="0" fontId="9" fillId="0" borderId="3" xfId="0" applyFont="1" applyBorder="1" applyAlignment="1" applyProtection="1">
      <alignment wrapText="1"/>
      <protection locked="0"/>
    </xf>
    <xf numFmtId="0" fontId="3" fillId="0" borderId="3" xfId="2" applyFont="1" applyBorder="1" applyAlignment="1" applyProtection="1">
      <alignment vertical="top"/>
      <protection locked="0"/>
    </xf>
    <xf numFmtId="0" fontId="5" fillId="0" borderId="2" xfId="1" applyFont="1" applyBorder="1" applyAlignment="1" applyProtection="1">
      <alignment vertical="top" wrapText="1"/>
      <protection locked="0"/>
    </xf>
    <xf numFmtId="0" fontId="0" fillId="0" borderId="6" xfId="0" applyBorder="1" applyAlignment="1" applyProtection="1">
      <alignment vertical="top" wrapText="1"/>
      <protection locked="0"/>
    </xf>
    <xf numFmtId="0" fontId="5" fillId="0" borderId="5" xfId="1" applyFont="1" applyBorder="1" applyAlignment="1" applyProtection="1">
      <alignment vertical="top" wrapText="1"/>
      <protection locked="0"/>
    </xf>
    <xf numFmtId="0" fontId="6" fillId="0" borderId="4" xfId="0" applyFont="1" applyBorder="1" applyAlignment="1" applyProtection="1">
      <alignment horizontal="center" vertical="top" wrapText="1"/>
      <protection locked="0"/>
    </xf>
    <xf numFmtId="0" fontId="0" fillId="0" borderId="3" xfId="0" applyBorder="1" applyAlignment="1" applyProtection="1">
      <alignment vertical="top" wrapText="1"/>
      <protection locked="0"/>
    </xf>
    <xf numFmtId="0" fontId="0" fillId="0" borderId="17" xfId="0" applyBorder="1" applyAlignment="1" applyProtection="1">
      <alignment vertical="top" wrapText="1"/>
      <protection locked="0"/>
    </xf>
    <xf numFmtId="0" fontId="0" fillId="0" borderId="5" xfId="0" applyBorder="1" applyAlignment="1" applyProtection="1">
      <alignment vertical="top" wrapText="1"/>
      <protection locked="0"/>
    </xf>
    <xf numFmtId="0" fontId="5" fillId="0" borderId="6" xfId="1" applyFont="1" applyBorder="1" applyAlignment="1" applyProtection="1">
      <alignment vertical="top" wrapText="1"/>
      <protection locked="0"/>
    </xf>
    <xf numFmtId="0" fontId="5" fillId="0" borderId="7" xfId="1" applyFont="1" applyBorder="1" applyAlignment="1" applyProtection="1">
      <alignment vertical="top" wrapText="1"/>
      <protection locked="0"/>
    </xf>
    <xf numFmtId="0" fontId="5" fillId="0" borderId="3" xfId="1" applyFont="1" applyBorder="1" applyAlignment="1" applyProtection="1">
      <alignment vertical="top" wrapText="1"/>
      <protection locked="0"/>
    </xf>
    <xf numFmtId="0" fontId="6" fillId="0" borderId="4" xfId="0" applyFont="1" applyBorder="1" applyAlignment="1" applyProtection="1">
      <alignment wrapText="1"/>
      <protection locked="0"/>
    </xf>
    <xf numFmtId="0" fontId="6" fillId="0" borderId="8" xfId="0" applyFont="1" applyBorder="1" applyAlignment="1" applyProtection="1">
      <alignment wrapText="1"/>
      <protection locked="0"/>
    </xf>
    <xf numFmtId="0" fontId="0" fillId="0" borderId="4" xfId="0" applyBorder="1" applyAlignment="1" applyProtection="1">
      <alignment wrapText="1"/>
      <protection locked="0"/>
    </xf>
    <xf numFmtId="0" fontId="0" fillId="0" borderId="25" xfId="0" applyBorder="1" applyAlignment="1" applyProtection="1">
      <alignment wrapText="1"/>
      <protection locked="0"/>
    </xf>
    <xf numFmtId="0" fontId="7" fillId="0" borderId="3" xfId="0" quotePrefix="1" applyFont="1" applyBorder="1" applyAlignment="1">
      <alignment vertical="top" wrapText="1"/>
    </xf>
    <xf numFmtId="0" fontId="6" fillId="0" borderId="7" xfId="0" applyFont="1" applyBorder="1" applyAlignment="1" applyProtection="1">
      <alignment horizontal="center" vertical="top" wrapText="1"/>
      <protection locked="0"/>
    </xf>
    <xf numFmtId="0" fontId="0" fillId="0" borderId="8" xfId="0" applyBorder="1" applyAlignment="1" applyProtection="1">
      <alignment wrapText="1"/>
      <protection locked="0"/>
    </xf>
    <xf numFmtId="0" fontId="0" fillId="0" borderId="7" xfId="0" applyBorder="1" applyAlignment="1" applyProtection="1">
      <alignment wrapText="1"/>
      <protection locked="0"/>
    </xf>
    <xf numFmtId="0" fontId="0" fillId="0" borderId="3" xfId="0" applyBorder="1" applyAlignment="1" applyProtection="1">
      <alignment wrapText="1"/>
      <protection locked="0"/>
    </xf>
    <xf numFmtId="0" fontId="6" fillId="0" borderId="3" xfId="0" applyFont="1" applyBorder="1" applyAlignment="1" applyProtection="1">
      <alignment wrapText="1"/>
      <protection locked="0"/>
    </xf>
    <xf numFmtId="0" fontId="6" fillId="0" borderId="11" xfId="0" applyFont="1" applyBorder="1" applyAlignment="1" applyProtection="1">
      <alignment wrapText="1"/>
      <protection locked="0"/>
    </xf>
    <xf numFmtId="0" fontId="5" fillId="0" borderId="22" xfId="1" applyFont="1" applyBorder="1" applyAlignment="1" applyProtection="1">
      <alignment vertical="top" wrapText="1"/>
      <protection locked="0"/>
    </xf>
    <xf numFmtId="0" fontId="0" fillId="0" borderId="9" xfId="0" applyBorder="1" applyAlignment="1" applyProtection="1">
      <alignment wrapText="1"/>
      <protection locked="0"/>
    </xf>
    <xf numFmtId="0" fontId="6" fillId="0" borderId="8" xfId="0" applyFont="1" applyBorder="1" applyAlignment="1" applyProtection="1">
      <alignment horizontal="center" vertical="top" wrapText="1"/>
      <protection locked="0"/>
    </xf>
    <xf numFmtId="0" fontId="5" fillId="0" borderId="0" xfId="1" applyFont="1" applyAlignment="1" applyProtection="1">
      <alignment vertical="top" wrapText="1"/>
      <protection locked="0"/>
    </xf>
    <xf numFmtId="0" fontId="5" fillId="0" borderId="8" xfId="1" applyFont="1" applyBorder="1" applyAlignment="1" applyProtection="1">
      <alignment vertical="top" wrapText="1"/>
      <protection locked="0"/>
    </xf>
    <xf numFmtId="0" fontId="6" fillId="0" borderId="12" xfId="0" applyFont="1" applyBorder="1" applyAlignment="1" applyProtection="1">
      <alignment horizontal="center" vertical="top" wrapText="1"/>
      <protection locked="0"/>
    </xf>
    <xf numFmtId="0" fontId="0" fillId="0" borderId="3" xfId="0" applyBorder="1" applyAlignment="1" applyProtection="1">
      <alignment horizontal="center" vertical="top" wrapText="1"/>
      <protection locked="0"/>
    </xf>
    <xf numFmtId="0" fontId="5" fillId="0" borderId="3" xfId="1" applyFont="1"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5" fillId="0" borderId="4" xfId="1" applyFont="1" applyBorder="1" applyAlignment="1" applyProtection="1">
      <alignment horizontal="left" vertical="top" wrapText="1"/>
      <protection locked="0"/>
    </xf>
    <xf numFmtId="0" fontId="6" fillId="0" borderId="11" xfId="0" applyFont="1" applyBorder="1" applyAlignment="1" applyProtection="1">
      <alignment horizontal="left" vertical="top" wrapText="1"/>
      <protection locked="0"/>
    </xf>
    <xf numFmtId="0" fontId="6" fillId="0" borderId="4" xfId="0" applyFont="1" applyBorder="1" applyAlignment="1" applyProtection="1">
      <alignment horizontal="left" vertical="top" wrapText="1"/>
      <protection locked="0"/>
    </xf>
    <xf numFmtId="0" fontId="5" fillId="0" borderId="11" xfId="1" applyFont="1"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16" xfId="0" applyBorder="1" applyAlignment="1" applyProtection="1">
      <alignment wrapText="1"/>
      <protection locked="0"/>
    </xf>
    <xf numFmtId="0" fontId="6" fillId="0" borderId="16" xfId="0" applyFont="1" applyBorder="1" applyAlignment="1" applyProtection="1">
      <alignment wrapText="1"/>
      <protection locked="0"/>
    </xf>
    <xf numFmtId="0" fontId="6" fillId="0" borderId="7" xfId="0" applyFont="1" applyBorder="1" applyAlignment="1" applyProtection="1">
      <alignment horizontal="left" vertical="top" wrapText="1"/>
      <protection locked="0"/>
    </xf>
    <xf numFmtId="0" fontId="5" fillId="0" borderId="8" xfId="1" applyFont="1"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6" fillId="0" borderId="16" xfId="0" applyFont="1" applyBorder="1" applyAlignment="1" applyProtection="1">
      <alignment horizontal="left" vertical="top" wrapText="1"/>
      <protection locked="0"/>
    </xf>
    <xf numFmtId="0" fontId="6" fillId="0" borderId="8" xfId="0" applyFont="1" applyBorder="1" applyAlignment="1" applyProtection="1">
      <alignment horizontal="left" vertical="top" wrapText="1"/>
      <protection locked="0"/>
    </xf>
    <xf numFmtId="0" fontId="6" fillId="0" borderId="0" xfId="0" applyFont="1" applyAlignment="1" applyProtection="1">
      <alignment horizontal="center" vertical="top" wrapText="1"/>
      <protection locked="0"/>
    </xf>
    <xf numFmtId="0" fontId="0" fillId="0" borderId="0" xfId="0" applyAlignment="1" applyProtection="1">
      <alignment horizontal="center" wrapText="1"/>
      <protection locked="0"/>
    </xf>
    <xf numFmtId="0" fontId="9" fillId="0" borderId="7" xfId="0" quotePrefix="1" applyFont="1" applyBorder="1" applyProtection="1">
      <protection hidden="1"/>
    </xf>
    <xf numFmtId="0" fontId="4" fillId="2" borderId="3" xfId="2" applyFont="1" applyFill="1" applyBorder="1" applyAlignment="1" applyProtection="1">
      <alignment horizontal="left" vertical="top" wrapText="1"/>
      <protection locked="0"/>
    </xf>
    <xf numFmtId="0" fontId="6" fillId="0" borderId="0" xfId="0" applyFont="1" applyAlignment="1">
      <alignment vertical="top" wrapText="1"/>
    </xf>
    <xf numFmtId="0" fontId="14" fillId="4" borderId="4" xfId="0" applyFont="1" applyFill="1" applyBorder="1" applyAlignment="1" applyProtection="1">
      <alignment wrapText="1"/>
      <protection locked="0"/>
    </xf>
    <xf numFmtId="0" fontId="0" fillId="0" borderId="1" xfId="0" applyBorder="1"/>
    <xf numFmtId="0" fontId="0" fillId="0" borderId="12" xfId="0" applyBorder="1" applyProtection="1">
      <protection hidden="1"/>
    </xf>
    <xf numFmtId="0" fontId="0" fillId="0" borderId="3" xfId="0" applyBorder="1" applyProtection="1">
      <protection locked="0"/>
    </xf>
    <xf numFmtId="0" fontId="14" fillId="5" borderId="1" xfId="0" applyFont="1" applyFill="1" applyBorder="1" applyAlignment="1" applyProtection="1">
      <alignment wrapText="1"/>
      <protection locked="0"/>
    </xf>
    <xf numFmtId="0" fontId="6" fillId="6" borderId="8" xfId="0" applyFont="1" applyFill="1" applyBorder="1" applyAlignment="1" applyProtection="1">
      <alignment vertical="top" wrapText="1"/>
      <protection locked="0"/>
    </xf>
    <xf numFmtId="0" fontId="6" fillId="6" borderId="4" xfId="0" applyFont="1" applyFill="1" applyBorder="1" applyAlignment="1" applyProtection="1">
      <alignment vertical="top" wrapText="1"/>
      <protection locked="0"/>
    </xf>
    <xf numFmtId="0" fontId="16" fillId="8" borderId="3" xfId="2" applyFont="1" applyFill="1" applyBorder="1" applyAlignment="1" applyProtection="1">
      <alignment vertical="top" wrapText="1"/>
      <protection locked="0"/>
    </xf>
    <xf numFmtId="0" fontId="16" fillId="8" borderId="13" xfId="2" applyFont="1" applyFill="1" applyBorder="1" applyAlignment="1" applyProtection="1">
      <alignment vertical="top" wrapText="1"/>
      <protection locked="0"/>
    </xf>
    <xf numFmtId="0" fontId="16" fillId="8" borderId="1" xfId="2" applyFont="1" applyFill="1" applyBorder="1" applyAlignment="1" applyProtection="1">
      <alignment horizontal="center" vertical="top" wrapText="1"/>
      <protection locked="0"/>
    </xf>
    <xf numFmtId="0" fontId="16" fillId="8" borderId="1" xfId="2" applyFont="1" applyFill="1" applyBorder="1" applyAlignment="1" applyProtection="1">
      <alignment vertical="top" wrapText="1"/>
      <protection locked="0"/>
    </xf>
    <xf numFmtId="0" fontId="16" fillId="8" borderId="2" xfId="2" applyFont="1" applyFill="1" applyBorder="1" applyAlignment="1" applyProtection="1">
      <alignment horizontal="left" vertical="top" wrapText="1"/>
      <protection locked="0"/>
    </xf>
    <xf numFmtId="0" fontId="16" fillId="8" borderId="2" xfId="2" applyFont="1" applyFill="1" applyBorder="1" applyAlignment="1" applyProtection="1">
      <alignment horizontal="center" vertical="top" wrapText="1"/>
      <protection locked="0"/>
    </xf>
    <xf numFmtId="0" fontId="14" fillId="4" borderId="1" xfId="0" applyFont="1" applyFill="1" applyBorder="1" applyAlignment="1" applyProtection="1">
      <alignment wrapText="1"/>
      <protection locked="0"/>
    </xf>
    <xf numFmtId="0" fontId="12" fillId="9" borderId="30" xfId="0" applyFont="1" applyFill="1" applyBorder="1" applyAlignment="1" applyProtection="1">
      <alignment wrapText="1"/>
      <protection locked="0"/>
    </xf>
    <xf numFmtId="0" fontId="0" fillId="0" borderId="0" xfId="0" applyAlignment="1">
      <alignment horizontal="left"/>
    </xf>
    <xf numFmtId="0" fontId="14" fillId="4" borderId="1" xfId="0" applyFont="1" applyFill="1" applyBorder="1" applyAlignment="1" applyProtection="1">
      <alignment horizontal="center" wrapText="1"/>
      <protection locked="0"/>
    </xf>
    <xf numFmtId="49" fontId="0" fillId="0" borderId="0" xfId="0" applyNumberFormat="1" applyAlignment="1">
      <alignment horizontal="center"/>
    </xf>
    <xf numFmtId="15" fontId="0" fillId="0" borderId="3" xfId="0" applyNumberFormat="1" applyBorder="1" applyAlignment="1">
      <alignment horizontal="center" vertical="center"/>
    </xf>
    <xf numFmtId="15" fontId="0" fillId="0" borderId="1" xfId="0" applyNumberFormat="1" applyBorder="1" applyAlignment="1">
      <alignment horizontal="center" vertical="top"/>
    </xf>
    <xf numFmtId="49" fontId="0" fillId="0" borderId="1" xfId="0" applyNumberFormat="1"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14" fillId="5" borderId="1" xfId="0" applyFont="1" applyFill="1" applyBorder="1" applyAlignment="1">
      <alignment wrapText="1"/>
    </xf>
    <xf numFmtId="0" fontId="14" fillId="5" borderId="26" xfId="0" applyFont="1" applyFill="1" applyBorder="1" applyAlignment="1">
      <alignment wrapText="1"/>
    </xf>
    <xf numFmtId="0" fontId="0" fillId="0" borderId="3" xfId="0" applyBorder="1" applyAlignment="1" applyProtection="1">
      <alignment vertical="top"/>
      <protection locked="0"/>
    </xf>
    <xf numFmtId="0" fontId="0" fillId="9" borderId="30" xfId="0" applyFill="1" applyBorder="1" applyAlignment="1" applyProtection="1">
      <alignment vertical="top"/>
      <protection locked="0"/>
    </xf>
    <xf numFmtId="0" fontId="0" fillId="9" borderId="0" xfId="0" applyFill="1" applyAlignment="1" applyProtection="1">
      <alignment vertical="top"/>
      <protection locked="0"/>
    </xf>
    <xf numFmtId="0" fontId="0" fillId="0" borderId="31" xfId="0" applyBorder="1" applyAlignment="1" applyProtection="1">
      <alignment vertical="top"/>
      <protection locked="0"/>
    </xf>
    <xf numFmtId="0" fontId="0" fillId="0" borderId="12" xfId="0" applyBorder="1" applyAlignment="1" applyProtection="1">
      <alignment vertical="top"/>
      <protection locked="0"/>
    </xf>
    <xf numFmtId="0" fontId="16" fillId="8" borderId="1" xfId="2" applyFont="1" applyFill="1" applyBorder="1" applyAlignment="1" applyProtection="1">
      <alignment horizontal="center" vertical="top" wrapText="1"/>
      <protection hidden="1"/>
    </xf>
    <xf numFmtId="0" fontId="4" fillId="0" borderId="2" xfId="2" applyFont="1" applyBorder="1" applyAlignment="1">
      <alignment horizontal="left" vertical="top" wrapText="1"/>
    </xf>
    <xf numFmtId="0" fontId="4" fillId="0" borderId="4" xfId="2" applyFont="1" applyBorder="1" applyAlignment="1">
      <alignment horizontal="left" vertical="top" wrapText="1"/>
    </xf>
    <xf numFmtId="0" fontId="4" fillId="0" borderId="8" xfId="2" applyFont="1" applyBorder="1" applyAlignment="1">
      <alignment horizontal="left" vertical="top" wrapText="1"/>
    </xf>
    <xf numFmtId="0" fontId="4" fillId="0" borderId="3" xfId="2" applyFont="1" applyBorder="1" applyAlignment="1">
      <alignment horizontal="left" vertical="top" wrapText="1"/>
    </xf>
    <xf numFmtId="0" fontId="4" fillId="0" borderId="7" xfId="2" applyFont="1" applyBorder="1" applyAlignment="1">
      <alignment horizontal="left" vertical="top" wrapText="1"/>
    </xf>
    <xf numFmtId="0" fontId="6" fillId="0" borderId="7" xfId="0" applyFont="1" applyBorder="1" applyAlignment="1">
      <alignment vertical="top" wrapText="1"/>
    </xf>
    <xf numFmtId="0" fontId="6" fillId="0" borderId="6" xfId="0" applyFont="1" applyBorder="1" applyAlignment="1">
      <alignment vertical="top" wrapText="1"/>
    </xf>
    <xf numFmtId="0" fontId="9" fillId="0" borderId="3" xfId="0" applyFont="1" applyBorder="1" applyAlignment="1">
      <alignment horizontal="left" vertical="center" wrapText="1"/>
    </xf>
    <xf numFmtId="0" fontId="4" fillId="0" borderId="10" xfId="2" applyFont="1" applyBorder="1" applyAlignment="1">
      <alignment horizontal="left" vertical="top" wrapText="1"/>
    </xf>
    <xf numFmtId="0" fontId="7" fillId="0" borderId="12" xfId="0" quotePrefix="1" applyFont="1" applyBorder="1" applyAlignment="1">
      <alignment vertical="top" wrapText="1"/>
    </xf>
    <xf numFmtId="0" fontId="6" fillId="0" borderId="12" xfId="0" applyFont="1" applyBorder="1" applyAlignment="1">
      <alignment vertical="top" wrapText="1"/>
    </xf>
    <xf numFmtId="0" fontId="6" fillId="0" borderId="15" xfId="0" applyFont="1" applyBorder="1" applyAlignment="1">
      <alignment vertical="top" wrapText="1"/>
    </xf>
    <xf numFmtId="0" fontId="4" fillId="3" borderId="3" xfId="2" applyFont="1" applyFill="1" applyBorder="1" applyAlignment="1">
      <alignment horizontal="left" vertical="top" wrapText="1"/>
    </xf>
    <xf numFmtId="0" fontId="4" fillId="3" borderId="4" xfId="2" applyFont="1" applyFill="1" applyBorder="1" applyAlignment="1">
      <alignment horizontal="left" vertical="top" wrapText="1"/>
    </xf>
    <xf numFmtId="0" fontId="4" fillId="3" borderId="8" xfId="2" applyFont="1" applyFill="1" applyBorder="1" applyAlignment="1">
      <alignment horizontal="left" vertical="top" wrapText="1"/>
    </xf>
    <xf numFmtId="0" fontId="7" fillId="0" borderId="7" xfId="0" quotePrefix="1" applyFont="1" applyBorder="1" applyAlignment="1">
      <alignment vertical="top" wrapText="1"/>
    </xf>
    <xf numFmtId="0" fontId="4" fillId="3" borderId="27" xfId="2" applyFont="1" applyFill="1" applyBorder="1" applyAlignment="1">
      <alignment horizontal="left" vertical="top" wrapText="1"/>
    </xf>
    <xf numFmtId="0" fontId="4" fillId="3" borderId="7" xfId="2" applyFont="1" applyFill="1" applyBorder="1" applyAlignment="1">
      <alignment horizontal="left" vertical="top" wrapText="1"/>
    </xf>
    <xf numFmtId="0" fontId="6" fillId="0" borderId="5" xfId="0" applyFont="1" applyBorder="1" applyAlignment="1">
      <alignment vertical="top" wrapText="1"/>
    </xf>
    <xf numFmtId="0" fontId="4" fillId="3" borderId="12" xfId="2" applyFont="1" applyFill="1" applyBorder="1" applyAlignment="1">
      <alignment horizontal="left" vertical="top" wrapText="1"/>
    </xf>
    <xf numFmtId="0" fontId="4" fillId="0" borderId="12" xfId="2" applyFont="1" applyBorder="1" applyAlignment="1">
      <alignment horizontal="left" vertical="top" wrapText="1"/>
    </xf>
    <xf numFmtId="0" fontId="6" fillId="0" borderId="8" xfId="0" applyFont="1" applyBorder="1" applyAlignment="1">
      <alignment vertical="top" wrapText="1"/>
    </xf>
    <xf numFmtId="0" fontId="7" fillId="0" borderId="0" xfId="0" quotePrefix="1" applyFont="1" applyAlignment="1">
      <alignment vertical="top" wrapText="1"/>
    </xf>
    <xf numFmtId="0" fontId="4" fillId="0" borderId="24" xfId="2" applyFont="1" applyBorder="1" applyAlignment="1" applyProtection="1">
      <alignment horizontal="center" vertical="top" wrapText="1"/>
      <protection hidden="1"/>
    </xf>
    <xf numFmtId="0" fontId="0" fillId="0" borderId="24" xfId="0" applyBorder="1" applyAlignment="1" applyProtection="1">
      <alignment horizontal="center" vertical="top" wrapText="1"/>
      <protection hidden="1"/>
    </xf>
    <xf numFmtId="0" fontId="0" fillId="0" borderId="24" xfId="0" applyBorder="1" applyAlignment="1" applyProtection="1">
      <alignment horizontal="center" wrapText="1"/>
      <protection hidden="1"/>
    </xf>
    <xf numFmtId="0" fontId="8" fillId="0" borderId="24" xfId="0" quotePrefix="1" applyFont="1" applyBorder="1" applyAlignment="1" applyProtection="1">
      <alignment horizontal="center" wrapText="1"/>
      <protection hidden="1"/>
    </xf>
    <xf numFmtId="0" fontId="4" fillId="0" borderId="1" xfId="2" applyFont="1" applyBorder="1" applyAlignment="1">
      <alignment horizontal="left" vertical="top" wrapText="1"/>
    </xf>
    <xf numFmtId="0" fontId="9" fillId="0" borderId="1" xfId="0" applyFont="1" applyBorder="1" applyAlignment="1">
      <alignment vertical="top" wrapText="1"/>
    </xf>
    <xf numFmtId="0" fontId="6" fillId="0" borderId="3" xfId="0" applyFont="1" applyBorder="1" applyAlignment="1">
      <alignment horizontal="left" vertical="top" wrapText="1"/>
    </xf>
    <xf numFmtId="0" fontId="6" fillId="0" borderId="7" xfId="0" applyFont="1" applyBorder="1" applyAlignment="1">
      <alignment horizontal="left" vertical="top" wrapText="1"/>
    </xf>
    <xf numFmtId="0" fontId="4" fillId="0" borderId="24" xfId="2" applyFont="1" applyBorder="1" applyAlignment="1">
      <alignment horizontal="left" vertical="top" wrapText="1"/>
    </xf>
    <xf numFmtId="0" fontId="5" fillId="0" borderId="1" xfId="1" applyFont="1" applyBorder="1" applyAlignment="1">
      <alignment vertical="top" wrapText="1"/>
    </xf>
    <xf numFmtId="0" fontId="5" fillId="3" borderId="1" xfId="1" applyFont="1" applyFill="1" applyBorder="1" applyAlignment="1">
      <alignment vertical="top" wrapText="1"/>
    </xf>
    <xf numFmtId="0" fontId="8" fillId="0" borderId="0" xfId="0" applyFont="1" applyAlignment="1">
      <alignment vertical="top" wrapText="1"/>
    </xf>
    <xf numFmtId="0" fontId="0" fillId="0" borderId="0" xfId="0" applyAlignment="1">
      <alignment vertical="top" wrapText="1"/>
    </xf>
    <xf numFmtId="0" fontId="0" fillId="0" borderId="0" xfId="0" applyAlignment="1" applyProtection="1">
      <alignment vertical="top" wrapText="1"/>
      <protection locked="0"/>
    </xf>
    <xf numFmtId="15" fontId="0" fillId="0" borderId="0" xfId="0" applyNumberFormat="1" applyAlignment="1">
      <alignment horizontal="center" vertical="top"/>
    </xf>
    <xf numFmtId="49" fontId="0" fillId="0" borderId="0" xfId="0" applyNumberFormat="1" applyAlignment="1">
      <alignment horizontal="center" vertical="top"/>
    </xf>
    <xf numFmtId="0" fontId="0" fillId="0" borderId="1" xfId="0" applyBorder="1" applyProtection="1">
      <protection hidden="1"/>
    </xf>
    <xf numFmtId="0" fontId="0" fillId="0" borderId="1" xfId="0" applyBorder="1" applyAlignment="1">
      <alignment horizontal="center"/>
    </xf>
    <xf numFmtId="0" fontId="14" fillId="4" borderId="30" xfId="0" applyFont="1" applyFill="1" applyBorder="1" applyAlignment="1" applyProtection="1">
      <alignment wrapText="1"/>
      <protection locked="0"/>
    </xf>
    <xf numFmtId="0" fontId="14" fillId="4" borderId="24" xfId="0" applyFont="1" applyFill="1" applyBorder="1" applyAlignment="1" applyProtection="1">
      <alignment wrapText="1"/>
      <protection locked="0"/>
    </xf>
    <xf numFmtId="0" fontId="14" fillId="4" borderId="23" xfId="0" applyFont="1" applyFill="1" applyBorder="1" applyAlignment="1" applyProtection="1">
      <alignment wrapText="1"/>
      <protection locked="0"/>
    </xf>
    <xf numFmtId="0" fontId="0" fillId="0" borderId="1" xfId="0" applyBorder="1" applyAlignment="1" applyProtection="1">
      <alignment vertical="top"/>
      <protection locked="0"/>
    </xf>
    <xf numFmtId="0" fontId="0" fillId="0" borderId="1" xfId="0" applyBorder="1" applyAlignment="1" applyProtection="1">
      <alignment vertical="top" wrapText="1"/>
      <protection locked="0"/>
    </xf>
    <xf numFmtId="0" fontId="4" fillId="0" borderId="10" xfId="2" applyFont="1" applyBorder="1" applyAlignment="1" applyProtection="1">
      <alignment horizontal="left" vertical="top" wrapText="1"/>
      <protection locked="0"/>
    </xf>
    <xf numFmtId="0" fontId="0" fillId="0" borderId="23" xfId="0" applyBorder="1" applyAlignment="1" applyProtection="1">
      <alignment horizontal="center" wrapText="1"/>
      <protection hidden="1"/>
    </xf>
    <xf numFmtId="0" fontId="6" fillId="0" borderId="1" xfId="0" applyFont="1" applyBorder="1" applyAlignment="1" applyProtection="1">
      <alignment horizontal="center" vertical="top" wrapText="1"/>
      <protection locked="0"/>
    </xf>
    <xf numFmtId="0" fontId="6" fillId="0" borderId="1" xfId="0" applyFont="1" applyBorder="1" applyAlignment="1">
      <alignment vertical="top" wrapText="1"/>
    </xf>
    <xf numFmtId="0" fontId="5" fillId="0" borderId="1" xfId="1" applyFont="1" applyBorder="1" applyAlignment="1" applyProtection="1">
      <alignment vertical="top" wrapText="1"/>
      <protection locked="0"/>
    </xf>
    <xf numFmtId="0" fontId="6" fillId="0" borderId="1" xfId="0" applyFont="1" applyBorder="1" applyAlignment="1" applyProtection="1">
      <alignment vertical="top" wrapText="1"/>
      <protection hidden="1"/>
    </xf>
    <xf numFmtId="0" fontId="6" fillId="0" borderId="1" xfId="0" applyFont="1" applyBorder="1" applyAlignment="1" applyProtection="1">
      <alignment wrapText="1"/>
      <protection locked="0"/>
    </xf>
    <xf numFmtId="0" fontId="0" fillId="0" borderId="1" xfId="0" applyBorder="1" applyAlignment="1" applyProtection="1">
      <alignment horizontal="center" wrapText="1"/>
      <protection hidden="1"/>
    </xf>
    <xf numFmtId="0" fontId="3" fillId="2" borderId="27" xfId="2" applyFont="1" applyFill="1" applyBorder="1" applyAlignment="1" applyProtection="1">
      <alignment horizontal="left" vertical="top" wrapText="1"/>
      <protection locked="0"/>
    </xf>
    <xf numFmtId="0" fontId="3" fillId="0" borderId="26" xfId="2" applyFont="1" applyBorder="1" applyAlignment="1" applyProtection="1">
      <alignment horizontal="center" vertical="top" wrapText="1"/>
      <protection locked="0"/>
    </xf>
    <xf numFmtId="0" fontId="4" fillId="0" borderId="26" xfId="2" applyFont="1" applyBorder="1" applyAlignment="1">
      <alignment horizontal="left" vertical="top" wrapText="1"/>
    </xf>
    <xf numFmtId="0" fontId="5" fillId="0" borderId="12" xfId="1" applyFont="1" applyBorder="1" applyAlignment="1" applyProtection="1">
      <alignment vertical="top" wrapText="1"/>
      <protection locked="0"/>
    </xf>
    <xf numFmtId="0" fontId="18" fillId="0" borderId="0" xfId="0" applyFont="1" applyAlignment="1" applyProtection="1">
      <alignment vertical="top"/>
      <protection hidden="1"/>
    </xf>
    <xf numFmtId="0" fontId="15" fillId="7" borderId="0" xfId="1" applyFont="1" applyFill="1" applyAlignment="1">
      <alignment horizontal="center" vertical="top"/>
    </xf>
    <xf numFmtId="0" fontId="15" fillId="7" borderId="22" xfId="1" applyFont="1" applyFill="1" applyBorder="1" applyAlignment="1">
      <alignment horizontal="center" vertical="top"/>
    </xf>
    <xf numFmtId="0" fontId="14" fillId="5" borderId="32" xfId="0" applyFont="1" applyFill="1" applyBorder="1" applyAlignment="1" applyProtection="1">
      <alignment horizontal="center" wrapText="1"/>
      <protection locked="0"/>
    </xf>
    <xf numFmtId="0" fontId="0" fillId="0" borderId="33" xfId="0" applyBorder="1" applyAlignment="1">
      <alignment horizontal="center"/>
    </xf>
    <xf numFmtId="0" fontId="14" fillId="4" borderId="24" xfId="0" applyFont="1" applyFill="1" applyBorder="1" applyAlignment="1" applyProtection="1">
      <alignment horizontal="center" wrapText="1"/>
      <protection locked="0"/>
    </xf>
    <xf numFmtId="0" fontId="0" fillId="0" borderId="34" xfId="0" applyBorder="1" applyAlignment="1">
      <alignment horizontal="center" wrapText="1"/>
    </xf>
    <xf numFmtId="0" fontId="0" fillId="0" borderId="28" xfId="0" applyBorder="1" applyAlignment="1">
      <alignment horizontal="center" wrapText="1"/>
    </xf>
    <xf numFmtId="0" fontId="17" fillId="0" borderId="35" xfId="0" applyFont="1" applyBorder="1" applyAlignment="1">
      <alignment vertical="top" wrapText="1"/>
    </xf>
    <xf numFmtId="0" fontId="17" fillId="0" borderId="36" xfId="0" applyFont="1" applyBorder="1" applyAlignment="1">
      <alignment vertical="top" wrapText="1"/>
    </xf>
    <xf numFmtId="0" fontId="17" fillId="0" borderId="37" xfId="0" applyFont="1" applyBorder="1" applyAlignment="1">
      <alignment vertical="top" wrapText="1"/>
    </xf>
    <xf numFmtId="15" fontId="0" fillId="0" borderId="1" xfId="0" applyNumberFormat="1" applyBorder="1" applyAlignment="1">
      <alignment horizontal="center" vertical="top" wrapText="1"/>
    </xf>
    <xf numFmtId="0" fontId="6" fillId="6" borderId="8" xfId="0" applyFont="1" applyFill="1" applyBorder="1" applyAlignment="1" applyProtection="1">
      <alignment horizontal="left" vertical="top" wrapText="1"/>
      <protection locked="0"/>
    </xf>
    <xf numFmtId="0" fontId="6" fillId="6" borderId="10" xfId="0" applyFont="1" applyFill="1" applyBorder="1" applyAlignment="1" applyProtection="1">
      <alignment horizontal="left" vertical="top" wrapText="1"/>
      <protection locked="0"/>
    </xf>
    <xf numFmtId="0" fontId="6" fillId="6" borderId="9" xfId="0" applyFont="1" applyFill="1" applyBorder="1" applyAlignment="1" applyProtection="1">
      <alignment horizontal="center" vertical="top" wrapText="1"/>
      <protection locked="0"/>
    </xf>
    <xf numFmtId="0" fontId="6" fillId="6" borderId="10" xfId="0" applyFont="1" applyFill="1" applyBorder="1" applyAlignment="1" applyProtection="1">
      <alignment horizontal="center" vertical="top" wrapText="1"/>
      <protection locked="0"/>
    </xf>
    <xf numFmtId="0" fontId="6" fillId="6" borderId="16" xfId="0" applyFont="1" applyFill="1" applyBorder="1" applyAlignment="1" applyProtection="1">
      <alignment horizontal="left" vertical="top" wrapText="1"/>
      <protection locked="0"/>
    </xf>
    <xf numFmtId="0" fontId="6" fillId="6" borderId="0" xfId="0" applyFont="1" applyFill="1" applyAlignment="1" applyProtection="1">
      <alignment horizontal="left" vertical="top" wrapText="1"/>
      <protection locked="0"/>
    </xf>
    <xf numFmtId="0" fontId="6" fillId="6" borderId="9" xfId="0" applyFont="1" applyFill="1" applyBorder="1" applyAlignment="1" applyProtection="1">
      <alignment horizontal="left" vertical="top" wrapText="1"/>
      <protection locked="0"/>
    </xf>
  </cellXfs>
  <cellStyles count="3">
    <cellStyle name="Excel Built-in Normal" xfId="1" xr:uid="{221651E7-F449-4ED4-B03E-EF259F5D944B}"/>
    <cellStyle name="Normal" xfId="0" builtinId="0"/>
    <cellStyle name="Normal 2" xfId="2" xr:uid="{217CBD08-315C-4821-A3AA-7BF2D927E040}"/>
  </cellStyles>
  <dxfs count="72">
    <dxf>
      <fill>
        <patternFill>
          <bgColor theme="0" tint="-0.34998626667073579"/>
        </patternFill>
      </fill>
    </dxf>
    <dxf>
      <fill>
        <patternFill>
          <bgColor rgb="FF92D050"/>
        </patternFill>
      </fill>
    </dxf>
    <dxf>
      <fill>
        <patternFill>
          <bgColor rgb="FFFF0000"/>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
      <font>
        <color theme="1" tint="0.34998626667073579"/>
      </font>
      <fill>
        <patternFill>
          <bgColor theme="0" tint="-0.24994659260841701"/>
        </patternFill>
      </fill>
    </dxf>
    <dxf>
      <font>
        <color rgb="FF595959"/>
      </font>
      <fill>
        <patternFill patternType="solid">
          <bgColor rgb="FFBFBFBF"/>
        </patternFill>
      </fill>
    </dxf>
    <dxf>
      <font>
        <color rgb="FF595959"/>
      </font>
      <fill>
        <patternFill patternType="solid">
          <bgColor rgb="FFBFBFBF"/>
        </patternFill>
      </fill>
    </dxf>
    <dxf>
      <font>
        <color rgb="FF595959"/>
      </font>
      <fill>
        <patternFill patternType="solid">
          <bgColor rgb="FFBFBFBF"/>
        </patternFill>
      </fill>
    </dxf>
  </dxfs>
  <tableStyles count="0" defaultTableStyle="TableStyleMedium2" defaultPivotStyle="PivotStyleMedium9"/>
  <colors>
    <mruColors>
      <color rgb="FF70FC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F330-6EC4-4DE1-87E9-CCE0756D157C}">
  <dimension ref="A1:H19"/>
  <sheetViews>
    <sheetView topLeftCell="A19" workbookViewId="0">
      <selection activeCell="A19" sqref="A19:H19"/>
    </sheetView>
  </sheetViews>
  <sheetFormatPr defaultRowHeight="15"/>
  <cols>
    <col min="1" max="1" width="20.5703125" customWidth="1"/>
    <col min="2" max="2" width="26.5703125" customWidth="1"/>
    <col min="3" max="3" width="65.5703125" customWidth="1"/>
  </cols>
  <sheetData>
    <row r="1" spans="1:8">
      <c r="A1" s="244" t="s">
        <v>0</v>
      </c>
      <c r="B1" s="245"/>
    </row>
    <row r="2" spans="1:8">
      <c r="A2" s="165" t="s">
        <v>1</v>
      </c>
      <c r="B2" s="1" t="s">
        <v>2</v>
      </c>
    </row>
    <row r="3" spans="1:8">
      <c r="A3" s="165" t="s">
        <v>3</v>
      </c>
      <c r="B3" s="169" t="s">
        <v>4</v>
      </c>
    </row>
    <row r="4" spans="1:8">
      <c r="A4" s="165" t="s">
        <v>5</v>
      </c>
      <c r="B4" s="170">
        <v>45504</v>
      </c>
    </row>
    <row r="5" spans="1:8">
      <c r="A5" s="167"/>
    </row>
    <row r="6" spans="1:8">
      <c r="A6" s="244" t="s">
        <v>6</v>
      </c>
      <c r="B6" s="245"/>
      <c r="C6" s="245"/>
    </row>
    <row r="7" spans="1:8">
      <c r="A7" s="168" t="s">
        <v>7</v>
      </c>
      <c r="B7" s="168" t="s">
        <v>8</v>
      </c>
      <c r="C7" s="168" t="s">
        <v>9</v>
      </c>
    </row>
    <row r="8" spans="1:8">
      <c r="A8" s="171">
        <v>41164</v>
      </c>
      <c r="B8" s="172" t="s">
        <v>10</v>
      </c>
      <c r="C8" s="173" t="s">
        <v>11</v>
      </c>
    </row>
    <row r="9" spans="1:8">
      <c r="A9" s="171">
        <v>41362</v>
      </c>
      <c r="B9" s="223">
        <v>1.1000000000000001</v>
      </c>
      <c r="C9" s="174" t="s">
        <v>12</v>
      </c>
    </row>
    <row r="10" spans="1:8">
      <c r="A10" s="171">
        <v>45075</v>
      </c>
      <c r="B10" s="172" t="s">
        <v>13</v>
      </c>
      <c r="C10" s="174" t="s">
        <v>14</v>
      </c>
    </row>
    <row r="11" spans="1:8" ht="45">
      <c r="A11" s="171">
        <v>45126</v>
      </c>
      <c r="B11" s="172" t="s">
        <v>15</v>
      </c>
      <c r="C11" s="174" t="s">
        <v>16</v>
      </c>
    </row>
    <row r="12" spans="1:8" ht="60">
      <c r="A12" s="171">
        <v>45181</v>
      </c>
      <c r="B12" s="172" t="s">
        <v>17</v>
      </c>
      <c r="C12" s="174" t="s">
        <v>18</v>
      </c>
    </row>
    <row r="13" spans="1:8">
      <c r="A13" s="171">
        <v>45504</v>
      </c>
      <c r="B13" s="172" t="s">
        <v>4</v>
      </c>
      <c r="C13" s="174" t="s">
        <v>19</v>
      </c>
    </row>
    <row r="14" spans="1:8">
      <c r="A14" s="220"/>
      <c r="B14" s="221"/>
      <c r="C14" s="218"/>
    </row>
    <row r="15" spans="1:8" ht="81.75" customHeight="1">
      <c r="A15" s="252" t="s">
        <v>20</v>
      </c>
      <c r="B15" s="252"/>
      <c r="C15" s="252"/>
      <c r="D15" s="252"/>
      <c r="E15" s="252"/>
      <c r="F15" s="252"/>
      <c r="G15" s="252"/>
      <c r="H15" s="252"/>
    </row>
    <row r="16" spans="1:8">
      <c r="A16" s="220"/>
      <c r="B16" s="221"/>
      <c r="C16" s="218"/>
    </row>
    <row r="18" spans="1:8">
      <c r="A18" s="246" t="s">
        <v>21</v>
      </c>
      <c r="B18" s="247"/>
      <c r="C18" s="247"/>
      <c r="D18" s="247"/>
      <c r="E18" s="247"/>
      <c r="F18" s="247"/>
      <c r="G18" s="247"/>
      <c r="H18" s="248"/>
    </row>
    <row r="19" spans="1:8" ht="180.75" customHeight="1">
      <c r="A19" s="249" t="s">
        <v>22</v>
      </c>
      <c r="B19" s="250"/>
      <c r="C19" s="250"/>
      <c r="D19" s="250"/>
      <c r="E19" s="250"/>
      <c r="F19" s="250"/>
      <c r="G19" s="250"/>
      <c r="H19" s="251"/>
    </row>
  </sheetData>
  <mergeCells count="5">
    <mergeCell ref="A1:B1"/>
    <mergeCell ref="A6:C6"/>
    <mergeCell ref="A18:H18"/>
    <mergeCell ref="A19:H19"/>
    <mergeCell ref="A15:H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01D62-DFDB-4944-81BD-B91634916C2F}">
  <dimension ref="A2:B11"/>
  <sheetViews>
    <sheetView workbookViewId="0">
      <selection activeCell="B11" sqref="B11"/>
    </sheetView>
  </sheetViews>
  <sheetFormatPr defaultRowHeight="15"/>
  <cols>
    <col min="1" max="1" width="27.5703125" style="12" customWidth="1"/>
    <col min="2" max="2" width="37.7109375" style="12" customWidth="1"/>
    <col min="3" max="16384" width="9.140625" style="12"/>
  </cols>
  <sheetData>
    <row r="2" spans="1:2">
      <c r="A2" s="225" t="s">
        <v>23</v>
      </c>
      <c r="B2" s="227"/>
    </row>
    <row r="3" spans="1:2" ht="14.25" customHeight="1">
      <c r="A3" s="225" t="s">
        <v>24</v>
      </c>
      <c r="B3" s="228"/>
    </row>
    <row r="4" spans="1:2">
      <c r="A4" s="226" t="s">
        <v>25</v>
      </c>
      <c r="B4" s="228"/>
    </row>
    <row r="5" spans="1:2">
      <c r="A5" s="224" t="s">
        <v>26</v>
      </c>
      <c r="B5" s="228"/>
    </row>
    <row r="6" spans="1:2" ht="27">
      <c r="A6" s="224" t="s">
        <v>27</v>
      </c>
      <c r="B6" s="228"/>
    </row>
    <row r="7" spans="1:2" ht="22.5" customHeight="1">
      <c r="A7" s="166"/>
      <c r="B7" s="178"/>
    </row>
    <row r="8" spans="1:2">
      <c r="A8" s="165" t="s">
        <v>28</v>
      </c>
      <c r="B8" s="179"/>
    </row>
    <row r="9" spans="1:2">
      <c r="A9" s="175" t="s">
        <v>29</v>
      </c>
      <c r="B9" s="180"/>
    </row>
    <row r="10" spans="1:2" ht="64.5">
      <c r="A10" s="176" t="s">
        <v>30</v>
      </c>
      <c r="B10" s="181"/>
    </row>
    <row r="11" spans="1:2" ht="77.25">
      <c r="A11" s="175" t="s">
        <v>31</v>
      </c>
      <c r="B11" s="177"/>
    </row>
  </sheetData>
  <sheetProtection algorithmName="SHA-512" hashValue="N25tAZWPmx5P//i2O95Lwh2zOiPfY5/N8vePsTZaHup+RgBBvucn+qDKPo9GbJjiGR0mOUup0TFZ1kV/5WKm7Q==" saltValue="RF/HWBOI/e3QP7RSLO00CA==" spinCount="100000" sheet="1" selectLockedCells="1"/>
  <dataValidations count="4">
    <dataValidation type="list" allowBlank="1" showInputMessage="1" showErrorMessage="1" errorTitle="Alert!" error="Please select from the dropdown!" sqref="B9" xr:uid="{2755E450-80E4-4565-A68F-D1216459922E}">
      <formula1>"Internet,Intranet"</formula1>
    </dataValidation>
    <dataValidation type="list" allowBlank="1" showInputMessage="1" showErrorMessage="1" errorTitle="Alert!" error="Please select from the dropdown!" sqref="B10:B11" xr:uid="{2E8B84AE-5729-4EBD-BB3A-BE39FB1A0F78}">
      <formula1>"Yes,No"</formula1>
    </dataValidation>
    <dataValidation type="list" allowBlank="1" showInputMessage="1" showErrorMessage="1" sqref="B5" xr:uid="{2077E3C4-D187-41EA-BC6B-5A0E646621D2}">
      <formula1>"APIs Only,Code based library,Desktop,Web/Mobile"</formula1>
    </dataValidation>
    <dataValidation type="list" allowBlank="1" showInputMessage="1" showErrorMessage="1" sqref="B6" xr:uid="{63B2C5D4-2FB8-4B6B-B346-9D4333A2D743}">
      <formula1>"TCS, Customer,TCS &amp; Customer"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3"/>
  <sheetViews>
    <sheetView tabSelected="1" zoomScale="98" zoomScaleNormal="98" workbookViewId="0">
      <selection activeCell="F83" sqref="F83"/>
    </sheetView>
  </sheetViews>
  <sheetFormatPr defaultRowHeight="15" outlineLevelRow="1"/>
  <cols>
    <col min="1" max="1" width="4.42578125" style="63" customWidth="1"/>
    <col min="2" max="2" width="14.42578125" style="15" customWidth="1"/>
    <col min="3" max="3" width="7.28515625" style="15" customWidth="1"/>
    <col min="4" max="4" width="31" style="15" customWidth="1"/>
    <col min="5" max="5" width="10.28515625" style="63" customWidth="1"/>
    <col min="6" max="6" width="7.28515625" style="15" customWidth="1"/>
    <col min="7" max="7" width="40.5703125" style="63" customWidth="1"/>
    <col min="8" max="8" width="27.7109375" style="15" customWidth="1"/>
    <col min="9" max="9" width="25.42578125" style="15" customWidth="1"/>
    <col min="10" max="10" width="8.28515625" style="148" customWidth="1"/>
    <col min="11" max="11" width="25.7109375" style="151" customWidth="1"/>
    <col min="12" max="12" width="26" style="15" customWidth="1"/>
    <col min="13" max="18" width="9.140625" style="15"/>
    <col min="19" max="19" width="33.85546875" style="15" customWidth="1"/>
    <col min="20" max="16384" width="9.140625" style="15"/>
  </cols>
  <sheetData>
    <row r="1" spans="1:20" ht="21">
      <c r="E1" s="241" t="str">
        <f>IF(OR(COUNTBLANK('Asset Info'!B2:B6)&gt;0,COUNTBLANK('Asset Info'!B9:B11)&gt;0),"Please fill asset information and contextual questions in Asset Info sheet","")</f>
        <v>Please fill asset information and contextual questions in Asset Info sheet</v>
      </c>
    </row>
    <row r="3" spans="1:20" s="12" customFormat="1">
      <c r="A3" s="242" t="s">
        <v>32</v>
      </c>
      <c r="B3" s="242"/>
      <c r="C3" s="242"/>
      <c r="D3" s="242"/>
      <c r="E3" s="242"/>
      <c r="F3" s="242"/>
      <c r="G3" s="242"/>
      <c r="H3" s="242"/>
      <c r="I3" s="242"/>
      <c r="J3" s="242"/>
      <c r="K3"/>
    </row>
    <row r="4" spans="1:20" s="12" customFormat="1" ht="26.25" customHeight="1">
      <c r="A4" s="159" t="s">
        <v>33</v>
      </c>
      <c r="B4" s="160" t="s">
        <v>34</v>
      </c>
      <c r="C4" s="161" t="s">
        <v>35</v>
      </c>
      <c r="D4" s="162" t="s">
        <v>36</v>
      </c>
      <c r="E4" s="162" t="s">
        <v>37</v>
      </c>
      <c r="F4" s="162" t="s">
        <v>38</v>
      </c>
      <c r="G4" s="182" t="s">
        <v>9</v>
      </c>
      <c r="H4" s="163" t="s">
        <v>39</v>
      </c>
      <c r="I4" s="163" t="s">
        <v>40</v>
      </c>
      <c r="J4" s="164" t="s">
        <v>41</v>
      </c>
      <c r="K4"/>
    </row>
    <row r="5" spans="1:20" ht="36">
      <c r="A5" s="31">
        <v>1</v>
      </c>
      <c r="B5" s="13" t="s">
        <v>42</v>
      </c>
      <c r="C5" s="7">
        <v>1</v>
      </c>
      <c r="D5" s="183" t="s">
        <v>43</v>
      </c>
      <c r="E5" s="183" t="str">
        <f>IF(OR(OR('Asset Info'!B5="Desktop",'Asset Info'!B5="Code based library"),'Asset Info'!B5="APIs Only"),"No",IF(COUNTIF(F6:F9,"Yes")&gt;0,"No","Yes"))</f>
        <v>Yes</v>
      </c>
      <c r="F5" s="104"/>
      <c r="G5" s="2" t="str">
        <f>IF(F5="Yes","Users register themselves into the application by following the password policy.","")</f>
        <v/>
      </c>
      <c r="H5" s="9"/>
      <c r="I5" s="9"/>
      <c r="J5" s="206" t="str">
        <f>IF(F5&lt;&gt;"Yes","N","Y")</f>
        <v>N</v>
      </c>
      <c r="K5" s="87"/>
    </row>
    <row r="6" spans="1:20">
      <c r="A6" s="31"/>
      <c r="B6" s="105"/>
      <c r="C6" s="8">
        <v>2</v>
      </c>
      <c r="D6" s="184" t="s">
        <v>44</v>
      </c>
      <c r="E6" s="183" t="str">
        <f>IF(OR(OR('Asset Info'!B5="Desktop",'Asset Info'!B5="Code based library"),'Asset Info'!B5="APIs Only"),"No",IF(OR(F5="Yes",COUNTIF(F7:F9,"Yes")&gt;0),"No","Yes"))</f>
        <v>Yes</v>
      </c>
      <c r="F6" s="106"/>
      <c r="G6" s="3"/>
      <c r="H6" s="9"/>
      <c r="I6" s="9"/>
      <c r="J6" s="207" t="str">
        <f>IF(AND(OR(F6="Yes",F8="Yes"),COUNTIF(J14:J15,"Y")&gt;0),"Y","N")</f>
        <v>N</v>
      </c>
      <c r="K6" s="87"/>
    </row>
    <row r="7" spans="1:20" ht="39" customHeight="1">
      <c r="A7" s="107"/>
      <c r="B7" s="108"/>
      <c r="C7" s="10">
        <v>3</v>
      </c>
      <c r="D7" s="184" t="str">
        <f>IF('Asset Info'!B5="Desktop","Is it a Desktop application without user authentication?",IF('Asset Info'!B5="APIs Only","Is it a API-Based application without authentication?",IF('Asset Info'!B5="Code based library","NA","Does the application has no user registration module as it connects to customer SSO/LDAP/IDM?")))</f>
        <v>Does the application has no user registration module as it connects to customer SSO/LDAP/IDM?</v>
      </c>
      <c r="E7" s="183" t="str">
        <f>IF(OR(COUNTIF(F5:F6,"Yes")&gt;0,COUNTIF(F8:F9,"Yes")&gt;0),"No","Yes")</f>
        <v>Yes</v>
      </c>
      <c r="F7" s="106"/>
      <c r="G7" s="3" t="str">
        <f>IF(AND('Asset Info'!B5="Desktop",Checklist!F7="Yes"),"Application has no user registration module and is available as Desktop Application without user authentication",IF('Asset Info'!B5="Code based library","Application is a code based library and do not have any user registration module",IF(AND('Asset Info'!B5="APIs Only",Checklist!F7="Yes"),"",IF(F7="Yes","Application do not have user registration module and connect to customer LDAP/IDM/SSO to identify and authenticate the user.",""))))</f>
        <v/>
      </c>
      <c r="H7" s="9"/>
      <c r="I7" s="9"/>
      <c r="J7" s="207" t="str">
        <f>IF('Asset Info'!B5="Code based library","Y",IF(AND('Asset Info'!B5="Desktop",Checklist!F7="Yes"),"Y",IF('Asset Info'!B5="APIs Only","N",IF(F7="Yes","Y","N"))))</f>
        <v>N</v>
      </c>
      <c r="K7" s="87"/>
    </row>
    <row r="8" spans="1:20" ht="48">
      <c r="A8" s="31"/>
      <c r="B8" s="109"/>
      <c r="C8" s="8">
        <v>4</v>
      </c>
      <c r="D8" s="184" t="s">
        <v>45</v>
      </c>
      <c r="E8" s="183" t="str">
        <f>IF(OR(OR('Asset Info'!B5="Desktop",'Asset Info'!B5="Code based library"),'Asset Info'!B5="APIs Only"),"No",IF(OR(COUNTIF(F5:F7,"Yes")&gt;0,COUNTIF(F9,"Yes")&gt;0),"No","Yes"))</f>
        <v>Yes</v>
      </c>
      <c r="F8" s="106"/>
      <c r="G8" s="4"/>
      <c r="H8" s="9"/>
      <c r="I8" s="9"/>
      <c r="J8" s="207" t="str">
        <f>IF(AND(J6="Y",F8="Yes"),"Y","N")</f>
        <v>N</v>
      </c>
      <c r="K8" s="87"/>
    </row>
    <row r="9" spans="1:20">
      <c r="A9" s="31"/>
      <c r="B9" s="110"/>
      <c r="C9" s="8">
        <v>5</v>
      </c>
      <c r="D9" s="184" t="s">
        <v>46</v>
      </c>
      <c r="E9" s="183" t="str">
        <f>IF(OR(OR('Asset Info'!B5="Desktop",'Asset Info'!B5="Code based library"),'Asset Info'!B5="APIs Only"),"No",IF(COUNTIF(F5:F8,"Yes")&gt;0,"No","Yes"))</f>
        <v>Yes</v>
      </c>
      <c r="F9" s="106"/>
      <c r="G9" s="3"/>
      <c r="H9" s="9"/>
      <c r="I9" s="9"/>
      <c r="J9" s="207" t="s">
        <v>47</v>
      </c>
      <c r="K9" s="87" t="str">
        <f>IF(AND($F9="Yes",ISBLANK($H9)),"Please enter your comments","")</f>
        <v/>
      </c>
    </row>
    <row r="10" spans="1:20" ht="48" outlineLevel="1">
      <c r="A10" s="31"/>
      <c r="B10" s="110"/>
      <c r="C10" s="8" t="str">
        <f>IF(F8="Yes","4.1","2.1")</f>
        <v>2.1</v>
      </c>
      <c r="D10" s="184" t="s">
        <v>48</v>
      </c>
      <c r="E10" s="87" t="str">
        <f>IF(OR(COUNTIF(F11:F14,"Yes")&gt;0,AND(F6&lt;&gt;"Yes",F8&lt;&gt;"Yes")),"No","Yes")</f>
        <v>No</v>
      </c>
      <c r="F10" s="106"/>
      <c r="G10" s="3"/>
      <c r="H10" s="9"/>
      <c r="I10" s="9"/>
      <c r="J10" s="207"/>
      <c r="K10" s="87"/>
    </row>
    <row r="11" spans="1:20" ht="36" outlineLevel="1">
      <c r="A11" s="31"/>
      <c r="B11" s="110"/>
      <c r="C11" s="8" t="str">
        <f>IF(F8="Yes","4.2","2.2")</f>
        <v>2.2</v>
      </c>
      <c r="D11" s="184" t="s">
        <v>49</v>
      </c>
      <c r="E11" s="87" t="str">
        <f>IF(OR(OR(COUNTIF(F10,"Yes")&gt;0,COUNTIF(F12:F14,"Yes")&gt;0),AND(F6&lt;&gt;"Yes",F8&lt;&gt;"Yes")),"No","Yes")</f>
        <v>No</v>
      </c>
      <c r="F11" s="111"/>
      <c r="G11" s="5"/>
      <c r="H11" s="9"/>
      <c r="I11" s="9"/>
      <c r="J11" s="207"/>
      <c r="K11" s="87"/>
    </row>
    <row r="12" spans="1:20" ht="36" outlineLevel="1">
      <c r="A12" s="31"/>
      <c r="B12" s="105"/>
      <c r="C12" s="11" t="str">
        <f>IF(F8="Yes","4.3","2.3")</f>
        <v>2.3</v>
      </c>
      <c r="D12" s="185" t="s">
        <v>50</v>
      </c>
      <c r="E12" s="87" t="str">
        <f>IF(OR(OR(COUNTIF(F10:F11,"Yes")&gt;0,COUNTIF(F13:F14,"Yes")&gt;0),AND(F6&lt;&gt;"Yes",F8&lt;&gt;"Yes")),"No","Yes")</f>
        <v>No</v>
      </c>
      <c r="F12" s="112"/>
      <c r="G12" s="6"/>
      <c r="H12" s="9"/>
      <c r="I12" s="9"/>
      <c r="J12" s="207"/>
      <c r="K12" s="87"/>
    </row>
    <row r="13" spans="1:20" ht="36" outlineLevel="1">
      <c r="A13" s="31"/>
      <c r="B13" s="105"/>
      <c r="C13" s="11" t="str">
        <f>IF(F8="Yes","4.4","2.4")</f>
        <v>2.4</v>
      </c>
      <c r="D13" s="185" t="s">
        <v>51</v>
      </c>
      <c r="E13" s="87" t="str">
        <f>IF(OR(OR(COUNTIF(F10:F12,"Yes")&gt;0,COUNTIF(F14,"Yes")&gt;0),AND(F6&lt;&gt;"Yes",F8&lt;&gt;"Yes")),"No","Yes")</f>
        <v>No</v>
      </c>
      <c r="F13" s="112"/>
      <c r="G13" s="6" t="str">
        <f>IF(F13="Yes","User is registered by Admin. Activation link is shared with the user to set the password following the defined password policy.","")</f>
        <v/>
      </c>
      <c r="H13" s="9"/>
      <c r="I13" s="9"/>
      <c r="J13" s="207" t="str">
        <f>IF($F13&lt;&gt;"Yes","N","Y")</f>
        <v>N</v>
      </c>
      <c r="K13" s="87"/>
    </row>
    <row r="14" spans="1:20" ht="17.25" customHeight="1" outlineLevel="1">
      <c r="A14" s="31"/>
      <c r="B14" s="105"/>
      <c r="C14" s="11" t="str">
        <f>IF(F8="Yes","4.5","2.5")</f>
        <v>2.5</v>
      </c>
      <c r="D14" s="185" t="s">
        <v>46</v>
      </c>
      <c r="E14" s="87" t="str">
        <f>IF(OR(COUNTIF(F10:F13,"Yes")&gt;0,AND(F6&lt;&gt;"Yes",F8&lt;&gt;"Yes")),"No","Yes")</f>
        <v>No</v>
      </c>
      <c r="F14" s="112"/>
      <c r="G14" s="6"/>
      <c r="H14" s="9"/>
      <c r="I14" s="9"/>
      <c r="J14" s="207"/>
      <c r="K14" s="87"/>
      <c r="S14" s="217" t="s">
        <v>52</v>
      </c>
      <c r="T14" s="15" t="s">
        <v>53</v>
      </c>
    </row>
    <row r="15" spans="1:20" ht="90" customHeight="1">
      <c r="A15" s="31"/>
      <c r="B15" s="110"/>
      <c r="C15" s="8" t="str">
        <f>IF(AND(F6="Yes",F12="Yes"),"2.3.1",IF(AND(F6="Yes",F10="Yes"),"2.1.1",IF(AND(F6="Yes",F11="Yes"),"2.2.1",IF(AND(F8="Yes",F12="Yes"),"4.3.1",IF(AND(F8="Yes",F10="Yes"),"4.1.1",IF(AND(F8="Yes",F11="Yes"),"4.2.1","2.1.1"))))))</f>
        <v>2.1.1</v>
      </c>
      <c r="D15" s="186" t="s">
        <v>54</v>
      </c>
      <c r="E15" s="87" t="str">
        <f>IF(AND(OR(F6="Yes",F8="Yes"),COUNTIF(F10:F12,"Yes")&gt;0),"Yes","No")</f>
        <v>No</v>
      </c>
      <c r="F15" s="113"/>
      <c r="G15" s="3" t="str">
        <f>IF(AND(ISBLANK(F8),ISBLANK(F6)),"",IF(AND(F8="Yes",OR(F15="No",F15="NA")),S14, IF(AND(F8="Yes",F15="Yes"),S15,IF(OR(F15="No",F15="NA"),#REF!,IF(ISBLANK(F15),"",S16)))))</f>
        <v/>
      </c>
      <c r="H15" s="9"/>
      <c r="I15" s="9"/>
      <c r="J15" s="207" t="str">
        <f t="shared" ref="J15:J19" si="0">IF($F15&lt;&gt;"Yes","N","Y")</f>
        <v>N</v>
      </c>
      <c r="K15" s="87"/>
      <c r="S15" s="218" t="s">
        <v>55</v>
      </c>
      <c r="T15" s="15" t="s">
        <v>56</v>
      </c>
    </row>
    <row r="16" spans="1:20" ht="45" customHeight="1">
      <c r="A16" s="31"/>
      <c r="B16" s="110"/>
      <c r="C16" s="8">
        <v>3.1</v>
      </c>
      <c r="D16" s="186" t="str">
        <f>IF('Asset Info'!B5="APIs Only","Is the application just used as a middle layer without API keys or authentication tokens?","Does the application provide the option of self-registration to the users?")</f>
        <v>Does the application provide the option of self-registration to the users?</v>
      </c>
      <c r="E16" s="87" t="str">
        <f>IF(OR(F17="Yes",F18="Yes"),"No",IF(AND('Asset Info'!B5="APIs Only",F7="Yes"),"Yes",IF(AND('Asset Info'!B5="APIs Only",F7="No"),"No",IF(AND('Asset Info'!B5="Desktop",Checklist!F7="No"),"Yes","No"))))</f>
        <v>No</v>
      </c>
      <c r="F16" s="113"/>
      <c r="G16" s="3" t="str">
        <f>IF(AND('Asset Info'!B5="API",F16="Yes"),"API based application used as a middle layer without API keys or authentication tokens.",IF(AND('Asset Info'!B5="API",F16="No"),"",IF(F16="Yes","Application is a desktop application and allows user for self registration by following password policy","")))</f>
        <v/>
      </c>
      <c r="H16" s="9"/>
      <c r="I16" s="9"/>
      <c r="J16" s="207" t="str">
        <f>IF(AND('Asset Info'!B5="APIs Only",F16="Yes"),"Y",IF(AND('Asset Info'!B5="APIs Only",F16="No"),"N",IF(AND(E16="Yes",$F16="Yes"),"Y","N")))</f>
        <v>N</v>
      </c>
      <c r="K16" s="87"/>
      <c r="S16" s="218" t="s">
        <v>57</v>
      </c>
      <c r="T16" s="15" t="s">
        <v>58</v>
      </c>
    </row>
    <row r="17" spans="1:19">
      <c r="A17" s="31"/>
      <c r="B17" s="105"/>
      <c r="C17" s="11">
        <v>3.2</v>
      </c>
      <c r="D17" s="187" t="str">
        <f>IF('Asset Info'!B5="APIs Only","Is the application having API keys or authentication tokens for authenticating users or applications?","Does the admin registers the user?")</f>
        <v>Does the admin registers the user?</v>
      </c>
      <c r="E17" s="188" t="str">
        <f>IF(OR(F16="Yes",F18="Yes"),"No",IF(OR(AND('Asset Info'!B5="Desktop",Checklist!F7="No"),AND('Asset Info'!B5="APIs Only",F7="No")),"Yes","No"))</f>
        <v>No</v>
      </c>
      <c r="F17" s="112"/>
      <c r="G17" s="5" t="str">
        <f>IF(AND('Asset Info'!B5="APIs Only",F17="Yes"),"API based application using API keys or authentication tokens for authenticating users or applications",IF(F17="Yes","Application is a desktop application and admin registers the user",""))</f>
        <v/>
      </c>
      <c r="H17" s="9"/>
      <c r="I17" s="9"/>
      <c r="J17" s="207" t="str">
        <f>IF(AND('Asset Info'!B5="API",AND(F17="Yes",F7="No")),"Y","N")</f>
        <v>N</v>
      </c>
      <c r="K17" s="87"/>
      <c r="S17" s="219"/>
    </row>
    <row r="18" spans="1:19">
      <c r="A18" s="31"/>
      <c r="B18" s="110"/>
      <c r="C18" s="8">
        <v>3.3</v>
      </c>
      <c r="D18" s="186" t="s">
        <v>46</v>
      </c>
      <c r="E18" s="87" t="str">
        <f>IF(OR(F16="Yes",F17="Yes"),"No",IF(OR(AND('Asset Info'!B5="Desktop",Checklist!F7="No"),AND('Asset Info'!B5="APIs Only",F7="Yes")),"Yes","No"))</f>
        <v>No</v>
      </c>
      <c r="F18" s="113"/>
      <c r="G18" s="3"/>
      <c r="H18" s="9"/>
      <c r="I18" s="9"/>
      <c r="J18" s="207" t="str">
        <f>IF(F18="Yes","N","")</f>
        <v/>
      </c>
      <c r="K18" s="87" t="str">
        <f>IF(AND(AND($F18="Yes",ISBLANK($H18)),$F7="Yes"),"Please enter your comments","")</f>
        <v/>
      </c>
    </row>
    <row r="19" spans="1:19" ht="36">
      <c r="A19" s="31"/>
      <c r="B19" s="110"/>
      <c r="C19" s="8" t="s">
        <v>59</v>
      </c>
      <c r="D19" s="186" t="s">
        <v>54</v>
      </c>
      <c r="E19" s="87" t="str">
        <f>IF('Asset Info'!B5="API","No",IF(F17="Yes","Yes","No"))</f>
        <v>No</v>
      </c>
      <c r="F19" s="113"/>
      <c r="G19" s="3"/>
      <c r="H19" s="229"/>
      <c r="I19" s="9"/>
      <c r="J19" s="207" t="str">
        <f t="shared" si="0"/>
        <v>N</v>
      </c>
      <c r="K19" s="87"/>
    </row>
    <row r="20" spans="1:19">
      <c r="A20" s="31"/>
      <c r="B20" s="110"/>
      <c r="C20" s="8" t="s">
        <v>60</v>
      </c>
      <c r="D20" s="186" t="s">
        <v>46</v>
      </c>
      <c r="E20" s="87" t="str">
        <f>IF('Asset Info'!B5="API","No",IF(F19="Yes","No",IF(F17="Yes","Yes","No")))</f>
        <v>No</v>
      </c>
      <c r="F20" s="113"/>
      <c r="G20" s="3"/>
      <c r="H20" s="229"/>
      <c r="I20" s="9"/>
      <c r="J20" s="207"/>
      <c r="K20" s="87"/>
    </row>
    <row r="21" spans="1:19" ht="48">
      <c r="A21" s="31">
        <v>2</v>
      </c>
      <c r="B21" s="16" t="s">
        <v>61</v>
      </c>
      <c r="C21" s="8">
        <v>1</v>
      </c>
      <c r="D21" s="186" t="s">
        <v>62</v>
      </c>
      <c r="E21" s="87" t="str">
        <f>IF(OR(OR(AND('Asset Info'!B5="Desktop",F7="Yes"),'Asset Info'!B5="Code based library"),'Asset Info'!B5="APIs Only"),"No",IF(OR(F23="Yes",E22="Yes"),"No","Yes"))</f>
        <v>Yes</v>
      </c>
      <c r="F21" s="17"/>
      <c r="G21" s="64" t="str">
        <f>IF(F21="Yes","Application identifies and authenticates the user by using the username and credentials stored in the system","")</f>
        <v/>
      </c>
      <c r="H21" s="18"/>
      <c r="I21" s="24"/>
      <c r="J21" s="208" t="str">
        <f>IF(F21="Yes","Y","N")</f>
        <v>N</v>
      </c>
      <c r="K21" s="87"/>
    </row>
    <row r="22" spans="1:19" ht="43.5" customHeight="1">
      <c r="A22" s="31"/>
      <c r="B22" s="19"/>
      <c r="C22" s="20">
        <v>2</v>
      </c>
      <c r="D22" s="187" t="s">
        <v>63</v>
      </c>
      <c r="E22" s="188" t="str">
        <f>IF(OR(OR(AND('Asset Info'!B5="Desktop",F7="Yes"),'Asset Info'!B5="Code based library"),'Asset Info'!B5="APIs Only"),"No",IF(F7="Yes","Yes","No"))</f>
        <v>No</v>
      </c>
      <c r="F22" s="17"/>
      <c r="G22" s="65"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Info'!B5="API",F20="Yes"),"API based application",IF(AND(F7="Yes",E22="Yes"),"Application does not have user registration module and connect to customer LDAP/IDM/SSO to identify and authenticate the user.",""))))))</f>
        <v/>
      </c>
      <c r="H22" s="22"/>
      <c r="I22" s="24"/>
      <c r="J22" s="208" t="str">
        <f>IF(OR(OR(AND('Asset Info'!B5="Desktop",F7="Yes"),'Asset Info'!B5="Code based library"),'Asset Info'!B5="APIs Only"),"NA",IF(AND('Asset Info'!B5="Web/Mobile",F7="Yes"),"Y","N"))</f>
        <v>N</v>
      </c>
      <c r="K22" s="87"/>
    </row>
    <row r="23" spans="1:19">
      <c r="A23" s="31"/>
      <c r="B23" s="23"/>
      <c r="C23" s="8">
        <v>3</v>
      </c>
      <c r="D23" s="186" t="s">
        <v>46</v>
      </c>
      <c r="E23" s="87" t="str">
        <f>IF(OR(OR(AND('Asset Info'!B5="Desktop",F7="Yes"),'Asset Info'!B5="Code based library"),'Asset Info'!B5="APIs Only"),"No",IF(OR(E22="Yes",F21="Yes"),"No","Yes"))</f>
        <v>Yes</v>
      </c>
      <c r="F23" s="17"/>
      <c r="G23" s="64"/>
      <c r="H23" s="24"/>
      <c r="I23" s="24"/>
      <c r="J23" s="208" t="s">
        <v>47</v>
      </c>
      <c r="K23" s="87" t="str">
        <f>IF(AND($F23="Yes",ISBLANK($H23)),"Please enter your comments","")</f>
        <v/>
      </c>
    </row>
    <row r="24" spans="1:19" ht="36">
      <c r="A24" s="31">
        <v>3</v>
      </c>
      <c r="B24" s="16" t="s">
        <v>64</v>
      </c>
      <c r="C24" s="8">
        <v>1</v>
      </c>
      <c r="D24" s="186" t="s">
        <v>65</v>
      </c>
      <c r="E24" s="87" t="str">
        <f>IF(OR(OR(AND('Asset Info'!B5="Desktop",F7="Yes"),'Asset Info'!B5="Code based library"),'Asset Info'!B5="APIs Only"),"No",IF(OR(OR(F25="Yes",F27="Yes"),COUNTIF(E26:E26,"Yes")&gt;0),"No","Yes"))</f>
        <v>Yes</v>
      </c>
      <c r="F24" s="17"/>
      <c r="G24" s="64"/>
      <c r="H24" s="114"/>
      <c r="I24" s="114"/>
      <c r="J24" s="208" t="str">
        <f>IF(AND(F24="Yes",COUNTIF(J28:J30,"Y")&gt;0),"Y","N")</f>
        <v>N</v>
      </c>
      <c r="K24" s="87"/>
    </row>
    <row r="25" spans="1:19" ht="36">
      <c r="A25" s="31"/>
      <c r="B25" s="23"/>
      <c r="C25" s="8">
        <v>2</v>
      </c>
      <c r="D25" s="186" t="s">
        <v>66</v>
      </c>
      <c r="E25" s="87" t="str">
        <f>IF(OR(OR(AND('Asset Info'!B5="Desktop",F7="Yes"),'Asset Info'!B5="Code based library"),'Asset Info'!B5="APIs Only"),"No",IF(OR(OR(F24="Yes",F27="Yes"),COUNTIF(E26:E26,"Yes")&gt;0),"No","Yes"))</f>
        <v>Yes</v>
      </c>
      <c r="F25" s="17"/>
      <c r="G25" s="64"/>
      <c r="H25" s="114"/>
      <c r="I25" s="114"/>
      <c r="J25" s="209" t="str">
        <f>IF(AND(F25="Yes",OR(J31="Y",J32="Y")),"Y","N")</f>
        <v>N</v>
      </c>
      <c r="K25" s="87"/>
    </row>
    <row r="26" spans="1:19" ht="40.5" customHeight="1">
      <c r="A26" s="31"/>
      <c r="B26" s="23"/>
      <c r="C26" s="20">
        <v>3</v>
      </c>
      <c r="D26" s="187" t="s">
        <v>63</v>
      </c>
      <c r="E26" s="87" t="str">
        <f>IF(OR(OR(AND('Asset Info'!B5="Desktop",F7="Yes"),'Asset Info'!B5="Code based library"),'Asset Info'!B5="APIs Only"),"No",IF(F7="Yes","Yes","No"))</f>
        <v>No</v>
      </c>
      <c r="F26" s="17"/>
      <c r="G26" s="64"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Info'!B5="API",F20="Yes"),"API based application",IF(AND(F7="Yes",E26="Yes"),"Application does not have user registration module and connect to customer LDAP/IDM/SSO to identify and authenticate the user.",""))))))</f>
        <v/>
      </c>
      <c r="H26" s="114"/>
      <c r="I26" s="114"/>
      <c r="J26" s="208" t="str">
        <f>IF(OR(OR(AND('Asset Info'!B5="Desktop",F7="Yes"),'Asset Info'!B5="Code based library"),'Asset Info'!B5="APIs Only"),"NA",IF(AND('Asset Info'!B5="Web/Mobile",F7="Yes"),"Y","N"))</f>
        <v>N</v>
      </c>
      <c r="K26" s="87"/>
    </row>
    <row r="27" spans="1:19">
      <c r="A27" s="31"/>
      <c r="B27" s="19"/>
      <c r="C27" s="8">
        <v>4</v>
      </c>
      <c r="D27" s="187" t="s">
        <v>46</v>
      </c>
      <c r="E27" s="87" t="str">
        <f>IF(OR(OR(AND('Asset Info'!B5="Desktop",F7="Yes"),'Asset Info'!B5="Code based library"),'Asset Info'!B5="APIs Only"),"No",IF(OR(OR(F24="Yes",F25="Yes"),COUNTIF(E26:E26,"Yes")&gt;0),"No","Yes"))</f>
        <v>Yes</v>
      </c>
      <c r="F27" s="17"/>
      <c r="G27" s="65"/>
      <c r="H27" s="115"/>
      <c r="I27" s="114"/>
      <c r="J27" s="208" t="s">
        <v>47</v>
      </c>
      <c r="K27" s="87" t="str">
        <f>IF(AND($F27="Yes",ISBLANK($H27)),"Please enter your comments","")</f>
        <v/>
      </c>
    </row>
    <row r="28" spans="1:19" ht="36.75" customHeight="1">
      <c r="A28" s="31"/>
      <c r="B28" s="23"/>
      <c r="C28" s="25">
        <v>1.1000000000000001</v>
      </c>
      <c r="D28" s="187" t="s">
        <v>67</v>
      </c>
      <c r="E28" s="189" t="str">
        <f>IF(F24&lt;&gt;"Yes","No","Yes")</f>
        <v>No</v>
      </c>
      <c r="F28" s="26"/>
      <c r="G28" s="65" t="str">
        <f>IF(AND(F28="Yes",'Asset Info'!B9&lt;&gt;"Internet"),"Forgot password option is available. User is prompted to enter Security/Secret question and answer to reset the password.","")</f>
        <v/>
      </c>
      <c r="H28" s="116"/>
      <c r="I28" s="116"/>
      <c r="J28" s="208" t="str">
        <f>IF(ISBLANK(F24),"N",IF(AND('Asset Info'!B5="Desktop",F28="Yes"),"Y",IF(AND(F28="Yes",'Asset Info'!B9&lt;&gt;"Internet"),"Y","N")))</f>
        <v>N</v>
      </c>
      <c r="K28" s="87"/>
    </row>
    <row r="29" spans="1:19" ht="28.5" customHeight="1">
      <c r="A29" s="31"/>
      <c r="B29" s="23"/>
      <c r="C29" s="27" t="s">
        <v>68</v>
      </c>
      <c r="D29" s="186" t="s">
        <v>69</v>
      </c>
      <c r="E29" s="87" t="str">
        <f>IF('Asset Info'!B5="Desktop","No",IF(AND('Asset Info'!B9="Internet",F28="Yes"),"Yes","No"))</f>
        <v>No</v>
      </c>
      <c r="F29" s="17"/>
      <c r="G29" s="64" t="str">
        <f>IF(F29="Yes","Application has forgot password feature. Accepts Security/Secret question and answer and OTP is also validated",IF(F29="No","Recommended to implement OTP validation for an Internet application.",""))</f>
        <v/>
      </c>
      <c r="H29" s="117"/>
      <c r="I29" s="116"/>
      <c r="J29" s="208" t="str">
        <f>IF(F29="Yes","Y","N")</f>
        <v>N</v>
      </c>
      <c r="K29" s="87"/>
    </row>
    <row r="30" spans="1:19" ht="36">
      <c r="A30" s="31"/>
      <c r="B30" s="23"/>
      <c r="C30" s="27" t="s">
        <v>70</v>
      </c>
      <c r="D30" s="190" t="s">
        <v>71</v>
      </c>
      <c r="E30" s="87" t="str">
        <f>IF(F28="No","Yes","No")</f>
        <v>No</v>
      </c>
      <c r="F30" s="17"/>
      <c r="G30" s="64" t="str">
        <f>IF(F30="Yes","Forgot password option is available. An email is send to the user with a password reset link to set the password.",IF(F30="No","Recommend to either provide option for security/secret question and answer or share password rest link to allow user resetting their forward",""))</f>
        <v/>
      </c>
      <c r="H30" s="117"/>
      <c r="I30" s="116"/>
      <c r="J30" s="208" t="str">
        <f>IF(F30="Yes","Y","N")</f>
        <v>N</v>
      </c>
      <c r="K30" s="87"/>
    </row>
    <row r="31" spans="1:19" ht="36">
      <c r="A31" s="31"/>
      <c r="B31" s="23"/>
      <c r="C31" s="27">
        <v>2.1</v>
      </c>
      <c r="D31" s="186" t="str">
        <f>IF('Asset Info'!B5="Desktop","Is random/default password shared with the user by admin?","Is a random password generated and shared with the user through auto-mailer option?")</f>
        <v>Is a random password generated and shared with the user through auto-mailer option?</v>
      </c>
      <c r="E31" s="118" t="str">
        <f>IF(OR(COUNTIF(F32:F33,"Yes")&gt;0,F25&lt;&gt;"Yes"),"No","Yes")</f>
        <v>No</v>
      </c>
      <c r="F31" s="17"/>
      <c r="G31" s="66"/>
      <c r="H31" s="117"/>
      <c r="I31" s="116"/>
      <c r="J31" s="208" t="str">
        <f>IF($J34="N","N","Y")</f>
        <v>N</v>
      </c>
      <c r="K31" s="87"/>
    </row>
    <row r="32" spans="1:19" ht="36">
      <c r="A32" s="31"/>
      <c r="B32" s="23"/>
      <c r="C32" s="10">
        <v>2.2000000000000002</v>
      </c>
      <c r="D32" s="191" t="s">
        <v>72</v>
      </c>
      <c r="E32" s="192" t="str">
        <f>IF('Asset Info'!B5="Desktop","No",IF(OR(OR(F33="Yes",F31="Yes"),F25&lt;&gt;"Yes"),"No","Yes"))</f>
        <v>No</v>
      </c>
      <c r="F32" s="28"/>
      <c r="G32" s="67"/>
      <c r="H32" s="116"/>
      <c r="I32" s="116"/>
      <c r="J32" s="208" t="str">
        <f>IF($J35="N","N","Y")</f>
        <v>N</v>
      </c>
      <c r="K32" s="87"/>
    </row>
    <row r="33" spans="1:11">
      <c r="A33" s="31"/>
      <c r="B33" s="23"/>
      <c r="C33" s="10">
        <v>2.2999999999999998</v>
      </c>
      <c r="D33" s="184" t="s">
        <v>46</v>
      </c>
      <c r="E33" s="192" t="str">
        <f>IF(OR(F25&lt;&gt;"Yes",COUNTIF(F31:F32,"Yes")&gt;0),"No","Yes")</f>
        <v>No</v>
      </c>
      <c r="F33" s="29"/>
      <c r="G33" s="64"/>
      <c r="H33" s="24"/>
      <c r="I33" s="24"/>
      <c r="J33" s="208"/>
      <c r="K33" s="118" t="str">
        <f>IF(AND($F33="Yes",ISBLANK($H33)),"Please enter your comments","")</f>
        <v/>
      </c>
    </row>
    <row r="34" spans="1:11" ht="24">
      <c r="A34" s="31"/>
      <c r="B34" s="23"/>
      <c r="C34" s="10" t="s">
        <v>73</v>
      </c>
      <c r="D34" s="184" t="s">
        <v>74</v>
      </c>
      <c r="E34" s="193" t="str">
        <f>IF(AND(F25="Yes",F31="Yes"),"Yes","No")</f>
        <v>No</v>
      </c>
      <c r="F34" s="29"/>
      <c r="G34" s="64" t="str">
        <f>IF(ISBLANK(F34),"",IF(F34="Yes",IF('Asset Info'!B5="Desktop","Admin has the option to reset the password. Random password is generated and shared with user by admin.  User is forced to change the password on first login","Admin has the option to reset the password. Random password is generated and shared with user through auto-mailer and the user is forced to change the password on first login"),IF('Asset Info'!B5="Desktop","Admin has the option to reset the password. Random password is generated and shared with user by admin. Recommend to force the user to change the password on first login","Admin has the option to reset the password. Random password is generated and shared with user through auto-mailer. Recommend to force the user to change the password on first login")))</f>
        <v/>
      </c>
      <c r="H34" s="116"/>
      <c r="I34" s="116"/>
      <c r="J34" s="208" t="str">
        <f>IF($F34="Yes","Y","N")</f>
        <v>N</v>
      </c>
      <c r="K34" s="87"/>
    </row>
    <row r="35" spans="1:11" ht="24">
      <c r="A35" s="119"/>
      <c r="B35" s="19"/>
      <c r="C35" s="30" t="s">
        <v>75</v>
      </c>
      <c r="D35" s="185" t="s">
        <v>74</v>
      </c>
      <c r="E35" s="194" t="str">
        <f>IF(AND(F25="Yes",F32="Yes"),"Yes","No")</f>
        <v>No</v>
      </c>
      <c r="F35" s="26"/>
      <c r="G35" s="65" t="str">
        <f>IF(ISBLANK($F35),"",IF($F35="Yes","Admin has the option to reset the password. Default password is shared with user with limited activation time and the user is forced to change the password on first login.","Admin has the option to reset the password. Default password is shared with user with limited activation time.  Recommend to force the user to change the password on first login."))</f>
        <v/>
      </c>
      <c r="H35" s="120"/>
      <c r="I35" s="116"/>
      <c r="J35" s="208" t="str">
        <f>IF($F35="Yes","Y","N")</f>
        <v>N</v>
      </c>
      <c r="K35" s="87"/>
    </row>
    <row r="36" spans="1:11" ht="149.25" customHeight="1">
      <c r="A36" s="31">
        <v>4</v>
      </c>
      <c r="B36" s="32" t="s">
        <v>76</v>
      </c>
      <c r="C36" s="33">
        <v>1</v>
      </c>
      <c r="D36" s="195" t="str">
        <f>IF('Asset Info'!B9="Internet",_xlfn.CONCAT("Does the password policy consist of the following?
Min length 8 to 12 characters,
Max Length 50 to 64 characters,
Atleast 1 upper case letter,
Atleast 1 lower case letter,
Atleast 1 digit,
Atleast 1 special character,","
Password expiry after 30 or 60 days,
Last five passwords are not allowed to be used while resetting the password."),_xlfn.CONCAT("Does the password policy consist of the following?
Min length 8 to 12 characters,
Max Length 50 to 64 characters,",
"Atleast 1 upper case letter,
Atleast 1 lower case letter,
Atleast 1 digit,
Atleast 1 special character"
))</f>
        <v>Does the password policy consist of the following?
Min length 8 to 12 characters,
Max Length 50 to 64 characters,Atleast 1 upper case letter,
Atleast 1 lower case letter,
Atleast 1 digit,
Atleast 1 special character</v>
      </c>
      <c r="E36" s="87" t="str">
        <f>IF(OR(OR(AND('Asset Info'!B5="Desktop",F7="Yes"),'Asset Info'!B5="Code based library"),'Asset Info'!B5="APIs Only"),"No",IF(OR(E37="Yes",F38="Yes"),"No","Yes"))</f>
        <v>Yes</v>
      </c>
      <c r="F36" s="17"/>
      <c r="G36" s="64" t="str">
        <f>IF(ISBLANK(F36),"",IF(F36="Yes","Password Policy is configurable for min and max length and it contains atleast 1 special charcater, 1 digit, 1 upper case and 1 lower case character. It will not allow to set last 5 passwords and force the user to reset the password periodically.","Recommend to have password policy as configurable with min and max characters, 1 special character, 1 digit, atleast 1 upper case and 1 lower case letter. It should not allow to set last 5 passwords and force the user to reset the password periodically."))</f>
        <v/>
      </c>
      <c r="H36" s="24"/>
      <c r="I36" s="24"/>
      <c r="J36" s="208" t="str">
        <f>IF($F36="Yes","Y","N")</f>
        <v>N</v>
      </c>
      <c r="K36" s="87"/>
    </row>
    <row r="37" spans="1:11" ht="42" customHeight="1">
      <c r="A37" s="119"/>
      <c r="B37" s="121"/>
      <c r="C37" s="20">
        <v>2</v>
      </c>
      <c r="D37" s="187" t="s">
        <v>63</v>
      </c>
      <c r="E37" s="87" t="str">
        <f>IF(OR(OR(AND('Asset Info'!B5="Desktop",F7="Yes"),'Asset Info'!B5="Code based library"),'Asset Info'!B5="APIs Only"),"No",IF(F7="Yes","Yes","No"))</f>
        <v>No</v>
      </c>
      <c r="F37" s="17"/>
      <c r="G37" s="64"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application",IF(AND(F7="Yes",E37="Yes"),"Application does not have user registration module and connect to customer LDAP/IDM/SSO to identify and authenticate the user.",""))))))</f>
        <v/>
      </c>
      <c r="H37" s="114"/>
      <c r="I37" s="114"/>
      <c r="J37" s="208" t="str">
        <f>IF(OR(OR(AND('Asset Info'!B5="Desktop",F7="Yes"),'Asset Info'!B5="Code based library"),'Asset Info'!B5="APIs Only"),"NA",IF(AND('Asset Info'!B5="Web/Mobile",F7="Yes"),"Y","N"))</f>
        <v>N</v>
      </c>
      <c r="K37" s="87"/>
    </row>
    <row r="38" spans="1:11">
      <c r="A38" s="119"/>
      <c r="B38" s="121"/>
      <c r="C38" s="11">
        <v>3</v>
      </c>
      <c r="D38" s="187" t="s">
        <v>46</v>
      </c>
      <c r="E38" s="188" t="str">
        <f>IF(OR(OR(AND('Asset Info'!B5="Desktop",F7="Yes"),'Asset Info'!B5="Code based library"),'Asset Info'!B5="APIs Only"),"No",IF(OR(F36="Yes",E37="Yes"),"No","Yes"))</f>
        <v>Yes</v>
      </c>
      <c r="F38" s="21"/>
      <c r="G38" s="64"/>
      <c r="H38" s="115"/>
      <c r="I38" s="114"/>
      <c r="J38" s="208" t="s">
        <v>47</v>
      </c>
      <c r="K38" s="87" t="str">
        <f>IF(AND($F38="Yes",ISBLANK($H38)),"Please enter your comments","")</f>
        <v/>
      </c>
    </row>
    <row r="39" spans="1:11" ht="75" customHeight="1">
      <c r="A39" s="31">
        <v>5</v>
      </c>
      <c r="B39" s="32" t="s">
        <v>77</v>
      </c>
      <c r="C39" s="8">
        <v>1</v>
      </c>
      <c r="D39" s="186" t="str">
        <f>IF('Asset Info'!B9="Internet",IF('Asset Info'!B5="Desktop","Does the application validates username and password for authentication?","Does the application has two-factor authentication?That is after validating the usename and password, does the application accepts OTP or any token using authenticator apps?"),"Does the application validates username and password for authentication?")</f>
        <v>Does the application validates username and password for authentication?</v>
      </c>
      <c r="E39" s="87" t="str">
        <f>IF(OR(AND('Asset Info'!B5="Desktop",F7="Yes"),'Asset Info'!B5="APIs Only"),"No","Yes")</f>
        <v>Yes</v>
      </c>
      <c r="F39" s="17"/>
      <c r="G39" s="64" t="str">
        <f>IF(ISBLANK(F39),"",IF(AND('Asset Info'!B9="Internet",F39="Yes"),"Application is internet facing and has two-factor authentication enabled.",IF(AND('Asset Info'!B9="Internet",F39="No"),"Application has one-way authentication. Recommend to implement two-factor authentication as the application is internet facing.",IF(AND('Asset Info'!B9="Intranet",F39="Yes"),"Application has one-way authentication enabled","Recommend to enable one-way authentication"))))</f>
        <v/>
      </c>
      <c r="H39" s="116"/>
      <c r="I39" s="116"/>
      <c r="J39" s="208" t="str">
        <f t="shared" ref="J39" si="1">IF($F39="Yes","Y","N")</f>
        <v>N</v>
      </c>
      <c r="K39" s="87"/>
    </row>
    <row r="40" spans="1:11" ht="43.5" customHeight="1">
      <c r="A40" s="119"/>
      <c r="B40" s="121"/>
      <c r="C40" s="11">
        <v>2</v>
      </c>
      <c r="D40" s="187" t="str">
        <f>IF(OR(OR(AND('Asset Info'!B5="Desktop",F7="Yes"),'Asset Info'!B5="Code based library"),'Asset Info'!B5="APIs Only"),"NA","Others")</f>
        <v>Others</v>
      </c>
      <c r="E40" s="188" t="str">
        <f>IF(D40="NA","No","Yes")</f>
        <v>Yes</v>
      </c>
      <c r="F40" s="21"/>
      <c r="G40" s="65"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application",IF(AND(F16="Yes",E40="Yes"),"Application does not have user registration module and connect to customer LDAP/IDM/SSO to identify and authenticate the user.",""))))))</f>
        <v/>
      </c>
      <c r="H40" s="120"/>
      <c r="I40" s="116"/>
      <c r="J40" s="208" t="str">
        <f>IF(D40="NA","NA","N")</f>
        <v>N</v>
      </c>
      <c r="K40" s="87"/>
    </row>
    <row r="41" spans="1:11" ht="36">
      <c r="A41" s="31">
        <v>6</v>
      </c>
      <c r="B41" s="32" t="s">
        <v>78</v>
      </c>
      <c r="C41" s="8">
        <v>1</v>
      </c>
      <c r="D41" s="186" t="s">
        <v>79</v>
      </c>
      <c r="E41" s="87" t="str">
        <f>IF(OR(OR(AND('Asset Info'!B5="Desktop",F7="Yes"),'Asset Info'!B5="Code based library"),'Asset Info'!B5="APIs Only"),"No",IF(OR(E42="Yes",F43="Yes"),"No","Yes"))</f>
        <v>Yes</v>
      </c>
      <c r="F41" s="106"/>
      <c r="G41" s="64"/>
      <c r="H41" s="116"/>
      <c r="I41" s="116"/>
      <c r="J41" s="208" t="str">
        <f>IF(J44="N","N","Y")</f>
        <v>N</v>
      </c>
      <c r="K41" s="87"/>
    </row>
    <row r="42" spans="1:11" ht="37.5" customHeight="1">
      <c r="A42" s="31"/>
      <c r="B42" s="122"/>
      <c r="C42" s="20">
        <v>2</v>
      </c>
      <c r="D42" s="187" t="s">
        <v>63</v>
      </c>
      <c r="E42" s="87" t="str">
        <f>IF(OR(OR(AND('Asset Info'!B5="Desktop",F7="Yes"),'Asset Info'!B5="Code based library"),'Asset Info'!B5="APIs Only"),"No",IF(F7="Yes","Yes","No"))</f>
        <v>No</v>
      </c>
      <c r="F42" s="17"/>
      <c r="G42" s="64"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application",IF(AND(F7="Yes",E42="Yes"),"Application does not have user registration module and connect to customer LDAP/IDM/SSO to identify and authenticate the user.",""))))))</f>
        <v/>
      </c>
      <c r="H42" s="114"/>
      <c r="I42" s="114"/>
      <c r="J42" s="208" t="str">
        <f>IF(OR(OR(AND('Asset Info'!B5="Desktop",F7="Yes"),'Asset Info'!B5="Code based library"),'Asset Info'!B5="APIs Only"),"NA",IF(AND('Asset Info'!B5="Web/Mobile",F7="Yes"),"Y","N"))</f>
        <v>N</v>
      </c>
      <c r="K42" s="87"/>
    </row>
    <row r="43" spans="1:11">
      <c r="A43" s="31"/>
      <c r="B43" s="122"/>
      <c r="C43" s="33">
        <v>3</v>
      </c>
      <c r="D43" s="196" t="s">
        <v>46</v>
      </c>
      <c r="E43" s="188" t="str">
        <f>IF(OR(OR(AND('Asset Info'!B5="Desktop",F7="Yes"),'Asset Info'!B5="Code based library"),'Asset Info'!B5="APIs Only"),"No",IF(OR(F41="Yes",E42="Yes"),"No","Yes"))</f>
        <v>Yes</v>
      </c>
      <c r="F43" s="106"/>
      <c r="G43" s="64"/>
      <c r="H43" s="116"/>
      <c r="I43" s="116"/>
      <c r="J43" s="208" t="s">
        <v>47</v>
      </c>
      <c r="K43" s="118" t="str">
        <f>IF(AND($F43="Yes",ISBLANK($H43)),"Please enter your comments","")</f>
        <v/>
      </c>
    </row>
    <row r="44" spans="1:11" ht="62.25" customHeight="1">
      <c r="A44" s="119"/>
      <c r="B44" s="121"/>
      <c r="C44" s="20">
        <v>1.1000000000000001</v>
      </c>
      <c r="D44" s="197" t="s">
        <v>80</v>
      </c>
      <c r="E44" s="198" t="str">
        <f>IF(OR(F45="Yes",F41&lt;&gt;"Yes"),"No","Yes")</f>
        <v>No</v>
      </c>
      <c r="F44" s="111"/>
      <c r="G44" s="65" t="str">
        <f>IF(ISBLANK(F44),"",IF(F44="Yes","Application stores the user passwords in DB by salting and hashing it using slow hashing algorithms.","Application stores the user passwords in DB by salting and hashing it. Recommend to use slow hashing algorithms  like scrypt/bcrypt/PBKDF2WithHMACSHA256.PBKDF2WithHMACSHA512/Argon2id."))</f>
        <v/>
      </c>
      <c r="H44" s="120"/>
      <c r="I44" s="116"/>
      <c r="J44" s="208" t="str">
        <f t="shared" ref="J44" si="2">IF($F44="Yes","Y","N")</f>
        <v>N</v>
      </c>
      <c r="K44" s="87"/>
    </row>
    <row r="45" spans="1:11">
      <c r="A45" s="119"/>
      <c r="B45" s="122"/>
      <c r="C45" s="33">
        <v>1.2</v>
      </c>
      <c r="D45" s="195" t="s">
        <v>46</v>
      </c>
      <c r="E45" s="118" t="str">
        <f>IF(OR(F41&lt;&gt;"Yes",NOT(ISBLANK(F44))),"No","Yes")</f>
        <v>No</v>
      </c>
      <c r="F45" s="113"/>
      <c r="G45" s="68"/>
      <c r="H45" s="123"/>
      <c r="I45" s="124"/>
      <c r="J45" s="208" t="s">
        <v>47</v>
      </c>
      <c r="K45" s="87" t="str">
        <f>IF(AND($F45="Yes",ISBLANK($H45)),"Please enter your comments","")</f>
        <v/>
      </c>
    </row>
    <row r="46" spans="1:11" ht="48">
      <c r="A46" s="31">
        <v>7</v>
      </c>
      <c r="B46" s="34" t="s">
        <v>81</v>
      </c>
      <c r="C46" s="35">
        <v>1</v>
      </c>
      <c r="D46" s="199" t="s">
        <v>82</v>
      </c>
      <c r="E46" s="188" t="s">
        <v>83</v>
      </c>
      <c r="F46" s="125"/>
      <c r="G46" s="69" t="str">
        <f>IF(F46="No","The application does not store any system secrets","")</f>
        <v/>
      </c>
      <c r="H46" s="126"/>
      <c r="I46" s="116"/>
      <c r="J46" s="208" t="str">
        <f>IF(F46="No","Y","N")</f>
        <v>N</v>
      </c>
      <c r="K46" s="87"/>
    </row>
    <row r="47" spans="1:11" ht="48">
      <c r="A47" s="31"/>
      <c r="B47" s="121"/>
      <c r="C47" s="20">
        <v>1.1000000000000001</v>
      </c>
      <c r="D47" s="197" t="s">
        <v>84</v>
      </c>
      <c r="E47" s="118" t="str">
        <f>IF(AND(F46="Yes",ISBLANK(F48)),"Yes","No")</f>
        <v>No</v>
      </c>
      <c r="F47" s="112"/>
      <c r="G47" s="70" t="str">
        <f>IF(ISBLANK(F47),"",IF(F47="Yes","Application stores system passwords in an encrypted format using AES256 with GCM encryption mode.","Application stores system passwords in an encrypted format. Recommend to use AES 256 with GCM encryption mode."))</f>
        <v/>
      </c>
      <c r="H47" s="116"/>
      <c r="I47" s="116"/>
      <c r="J47" s="208" t="str">
        <f t="shared" ref="J47:J57" si="3">IF($F47="Yes","Y","N")</f>
        <v>N</v>
      </c>
      <c r="K47" s="87"/>
    </row>
    <row r="48" spans="1:11">
      <c r="A48" s="119"/>
      <c r="B48" s="121"/>
      <c r="C48" s="20">
        <v>1.2</v>
      </c>
      <c r="D48" s="200" t="s">
        <v>46</v>
      </c>
      <c r="E48" s="118" t="str">
        <f>IF(AND(F46="Yes",ISBLANK(F47)),"Yes","No")</f>
        <v>No</v>
      </c>
      <c r="F48" s="112"/>
      <c r="G48" s="71"/>
      <c r="H48" s="120"/>
      <c r="I48" s="116"/>
      <c r="J48" s="208"/>
      <c r="K48" s="87"/>
    </row>
    <row r="49" spans="1:11" ht="72">
      <c r="A49" s="127">
        <v>8</v>
      </c>
      <c r="B49" s="32" t="s">
        <v>85</v>
      </c>
      <c r="C49" s="8">
        <v>1</v>
      </c>
      <c r="D49" s="187" t="s">
        <v>86</v>
      </c>
      <c r="E49" s="189" t="str">
        <f>IF(OR(OR(AND('Asset Info'!B5="Desktop",F7="Yes"),'Asset Info'!B5="Code based library"),'Asset Info'!B5="APIs Only"),"No",IF(AND(E50="No",ISBLANK(F51)),"Yes","No"))</f>
        <v>Yes</v>
      </c>
      <c r="F49" s="112"/>
      <c r="G49" s="71" t="str">
        <f>IF(ISBLANK(F49),"",IF(F49="Yes","Application throws generic error message like 'Invalid credentials'/'Invalid username or password' incase of invalid username/password during authentication.","Application do not throw generic error message. Recommend to throw generic error message like 'Invalid credentials'/'Invalid username or password' incase of invalid username/password during authentication"))</f>
        <v/>
      </c>
      <c r="H49" s="120"/>
      <c r="I49" s="116"/>
      <c r="J49" s="208" t="str">
        <f t="shared" si="3"/>
        <v>N</v>
      </c>
      <c r="K49" s="87"/>
    </row>
    <row r="50" spans="1:11" ht="37.5" customHeight="1">
      <c r="A50" s="127"/>
      <c r="B50" s="36"/>
      <c r="C50" s="37">
        <v>2</v>
      </c>
      <c r="D50" s="186" t="s">
        <v>63</v>
      </c>
      <c r="E50" s="201" t="s">
        <v>87</v>
      </c>
      <c r="F50" s="17"/>
      <c r="G50" s="64"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application",IF(AND(F16="Yes",E50="Yes"),"Application does not have user registration module and connect to customer LDAP/IDM/SSO to identify and authenticate the user.",""))))))</f>
        <v/>
      </c>
      <c r="H50" s="114"/>
      <c r="I50" s="114"/>
      <c r="J50" s="208" t="str">
        <f>IF(OR(OR(AND('Asset Info'!B5="Desktop",F7="Yes"),'Asset Info'!B5="Code based library"),'Asset Info'!B5="API"),"NA","N")</f>
        <v>N</v>
      </c>
      <c r="K50" s="87"/>
    </row>
    <row r="51" spans="1:11">
      <c r="A51" s="31"/>
      <c r="B51" s="38"/>
      <c r="C51" s="39">
        <v>3</v>
      </c>
      <c r="D51" s="202" t="s">
        <v>46</v>
      </c>
      <c r="E51" s="188" t="str">
        <f>IF(OR(OR(AND('Asset Info'!B5="Desktop",F7="Yes"),'Asset Info'!B5="Code based library"),'Asset Info'!B5="APIs Only"),"No",IF(AND(E50="No",ISBLANK(F49)),"Yes","No"))</f>
        <v>Yes</v>
      </c>
      <c r="F51" s="113"/>
      <c r="G51" s="70"/>
      <c r="H51" s="116"/>
      <c r="I51" s="116"/>
      <c r="J51" s="208" t="s">
        <v>47</v>
      </c>
      <c r="K51" s="87" t="str">
        <f>IF(AND($F51="Yes",ISBLANK($H51)),"Please enter your comments","")</f>
        <v/>
      </c>
    </row>
    <row r="52" spans="1:11" ht="60" customHeight="1">
      <c r="A52" s="31">
        <v>9</v>
      </c>
      <c r="B52" s="32" t="s">
        <v>88</v>
      </c>
      <c r="C52" s="8">
        <v>1</v>
      </c>
      <c r="D52" s="184" t="s">
        <v>89</v>
      </c>
      <c r="E52" s="188" t="str">
        <f>IF(OR(OR(AND('Asset Info'!B5="Desktop",F7="Yes"),'Asset Info'!B5="Code based library"),'Asset Info'!B5="APIs Only"),"No",IF(D53="NA","No","Yes"))</f>
        <v>Yes</v>
      </c>
      <c r="F52" s="128"/>
      <c r="G52" s="65" t="str">
        <f>IF(ISBLANK(F52),"",IF(F52="Yes","Application do not allow guessable username or password.","Application do not validate for guessable usernames/password. Recommend to have validation for guessabel username  like admin, super admin and guessable passwords like Admin123,Superadmin12345 and do not allow setting these predicatable details."))</f>
        <v/>
      </c>
      <c r="H52" s="120"/>
      <c r="I52" s="116"/>
      <c r="J52" s="208" t="str">
        <f t="shared" si="3"/>
        <v>N</v>
      </c>
      <c r="K52" s="87"/>
    </row>
    <row r="53" spans="1:11" ht="41.25" customHeight="1">
      <c r="A53" s="119"/>
      <c r="B53" s="36"/>
      <c r="C53" s="33">
        <v>2</v>
      </c>
      <c r="D53" s="196" t="str">
        <f>IF(OR(OR(AND('Asset Info'!B5="Desktop",F7="Yes"),'Asset Info'!B5="Code based library"),'Asset Info'!B5="APIs Only"),"NA",IF(F7="Yes","NA","Others"))</f>
        <v>Others</v>
      </c>
      <c r="E53" s="87" t="str">
        <f>IF(D53="NA","No",IF(ISBLANK(F52),"Yes","No"))</f>
        <v>Yes</v>
      </c>
      <c r="F53" s="111"/>
      <c r="G53" s="64"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application",IF(F7="Yes","Application does not have user registration module and connect to customer LDAP/IDM/SSO to identify and authenticate the user.",""))))))</f>
        <v/>
      </c>
      <c r="H53" s="116"/>
      <c r="I53" s="116"/>
      <c r="J53" s="208" t="str">
        <f>IF(D53="NA","NA","N")</f>
        <v>N</v>
      </c>
      <c r="K53" s="87" t="str">
        <f>IF(AND($F53="Yes",ISBLANK($H53)),"Please enter your comments","")</f>
        <v/>
      </c>
    </row>
    <row r="54" spans="1:11" ht="24">
      <c r="A54" s="31">
        <v>10</v>
      </c>
      <c r="B54" s="40" t="s">
        <v>90</v>
      </c>
      <c r="C54" s="41">
        <v>1</v>
      </c>
      <c r="D54" s="203" t="s">
        <v>91</v>
      </c>
      <c r="E54" s="193" t="str">
        <f>IF(OR(OR(AND('Asset Info'!B5="Desktop",F7="Yes"),'Asset Info'!B5="Code based library"),'Asset Info'!B5="APIs Only"),"No",IF(D55="NA","No","Yes"))</f>
        <v>Yes</v>
      </c>
      <c r="F54" s="129"/>
      <c r="G54" s="64" t="str">
        <f>IF(ISBLANK(F54),"",IF(F54="Yes","","Application should lock the user after 3 or 5 invalid attempts."))</f>
        <v/>
      </c>
      <c r="H54" s="116"/>
      <c r="I54" s="116"/>
      <c r="J54" s="208" t="str">
        <f>IF($F54="Yes",IF(COUNTIF(J56:J59,"Y")&gt;0,"Y","N"),"N")</f>
        <v>N</v>
      </c>
      <c r="K54" s="87"/>
    </row>
    <row r="55" spans="1:11" ht="38.25" customHeight="1">
      <c r="A55" s="130"/>
      <c r="B55" s="38"/>
      <c r="C55" s="41">
        <v>2</v>
      </c>
      <c r="D55" s="203" t="str">
        <f>IF(OR(OR(AND('Asset Info'!B5="Desktop",F7="Yes"),'Asset Info'!B5="Code based library"),'Asset Info'!B5="APIs Only"),"NA",IF(F7="Yes","NA","Others"))</f>
        <v>Others</v>
      </c>
      <c r="E55" s="193" t="str">
        <f>IF(D55="NA","No",IF(F54="Yes","No","Yes"))</f>
        <v>Yes</v>
      </c>
      <c r="F55" s="129"/>
      <c r="G55" s="64"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application",IF(F7="Yes","Application does not have user registration module and connect to customer LDAP/IDM/SSO to identify and authenticate the user.",""))))))</f>
        <v/>
      </c>
      <c r="H55" s="116"/>
      <c r="I55" s="116"/>
      <c r="J55" s="208" t="str">
        <f>IF(D55="NA","NA","N")</f>
        <v>N</v>
      </c>
      <c r="K55" s="87"/>
    </row>
    <row r="56" spans="1:11" ht="25.5" customHeight="1">
      <c r="A56" s="31"/>
      <c r="B56" s="122"/>
      <c r="C56" s="8">
        <v>1.1000000000000001</v>
      </c>
      <c r="D56" s="186" t="s">
        <v>92</v>
      </c>
      <c r="E56" s="87" t="str">
        <f>IF(OR(COUNTIF(F57:F59,"Yes")&gt;0,F54&lt;&gt;"Yes"),"No","Yes")</f>
        <v>No</v>
      </c>
      <c r="F56" s="129"/>
      <c r="G56" s="64" t="str">
        <f>IF(ISBLANK(F56),"",IF(F56="Yes","Account is locked after 3 or 5 invalid attempts and admin unlocks the user.",""))</f>
        <v/>
      </c>
      <c r="H56" s="116"/>
      <c r="I56" s="116"/>
      <c r="J56" s="208" t="str">
        <f t="shared" si="3"/>
        <v>N</v>
      </c>
      <c r="K56" s="87"/>
    </row>
    <row r="57" spans="1:11" ht="24">
      <c r="A57" s="31"/>
      <c r="B57" s="122"/>
      <c r="C57" s="8">
        <v>1.2</v>
      </c>
      <c r="D57" s="186" t="s">
        <v>93</v>
      </c>
      <c r="E57" s="87" t="str">
        <f>IF(OR(OR(F56="Yes",COUNTIF(F58:F59,"Yes")&gt;0),F54&lt;&gt;"Yes"),"No","Yes")</f>
        <v>No</v>
      </c>
      <c r="F57" s="129"/>
      <c r="G57" s="64" t="str">
        <f>IF(ISBLANK(F57),"",IF(F57="Yes","Account is locked after 3 or 5 invalid attempts and account automatically unlocks after 24 hours.",""))</f>
        <v/>
      </c>
      <c r="H57" s="116"/>
      <c r="I57" s="116"/>
      <c r="J57" s="208" t="str">
        <f t="shared" si="3"/>
        <v>N</v>
      </c>
      <c r="K57" s="87"/>
    </row>
    <row r="58" spans="1:11" ht="35.25" customHeight="1">
      <c r="A58" s="31"/>
      <c r="B58" s="122"/>
      <c r="C58" s="8">
        <v>1.3</v>
      </c>
      <c r="D58" s="186" t="s">
        <v>94</v>
      </c>
      <c r="E58" s="87" t="str">
        <f>IF(OR(OR(F59="Yes",COUNTIF(F56:F57,"Yes")&gt;0),F54&lt;&gt;"Yes"),"No","Yes")</f>
        <v>No</v>
      </c>
      <c r="F58" s="129"/>
      <c r="G58" s="64" t="str">
        <f>IF(ISBLANK(F58),"",IF(F58="Yes","Account is locked after 3 or 5 invalid attempts and account is unlocked by accepting security question and answer from the user.",""))</f>
        <v/>
      </c>
      <c r="H58" s="116"/>
      <c r="I58" s="116"/>
      <c r="J58" s="208" t="str">
        <f>IF($F58="Yes","Y","N")</f>
        <v>N</v>
      </c>
      <c r="K58" s="87"/>
    </row>
    <row r="59" spans="1:11">
      <c r="A59" s="119"/>
      <c r="B59" s="121"/>
      <c r="C59" s="11">
        <v>1.4</v>
      </c>
      <c r="D59" s="187" t="s">
        <v>46</v>
      </c>
      <c r="E59" s="188" t="str">
        <f>IF(OR(COUNTIF(F56:F58,"Yes")&gt;0,F54&lt;&gt;"Yes"),"No","Yes")</f>
        <v>No</v>
      </c>
      <c r="F59" s="112"/>
      <c r="G59" s="71"/>
      <c r="H59" s="120"/>
      <c r="I59" s="116"/>
      <c r="J59" s="208" t="s">
        <v>47</v>
      </c>
      <c r="K59" s="118" t="str">
        <f>IF(AND($F59="Yes",ISBLANK($H59)),"Please enter your comments","")</f>
        <v/>
      </c>
    </row>
    <row r="60" spans="1:11" ht="36">
      <c r="A60" s="31" t="s">
        <v>95</v>
      </c>
      <c r="B60" s="32" t="s">
        <v>96</v>
      </c>
      <c r="C60" s="8">
        <v>1</v>
      </c>
      <c r="D60" s="186" t="s">
        <v>97</v>
      </c>
      <c r="E60" s="87" t="str">
        <f>IF(OR(OR(AND('Asset Info'!B5="Desktop",F7="Yes"),'Asset Info'!B5="Code based library"),'Asset Info'!B5="APIs Only"),"No",IF(D62="NA","No","Yes"))</f>
        <v>Yes</v>
      </c>
      <c r="F60" s="129"/>
      <c r="G60" s="64" t="str">
        <f>IF(AND(F60="Yes",'Asset Info'!B9="Intranet"),"Application has mechanisms to defend brute force attack by having strong password policy and account lockout mechanism",IF(AND(F60="No",'Asset Info'!B9="Internet"),"Application should have strong password policy, Account lockout mechanism and should securely store passwords.",""))</f>
        <v/>
      </c>
      <c r="H60" s="116"/>
      <c r="I60" s="116"/>
      <c r="J60" s="208" t="str">
        <f>IF(AND(F60="Yes",'Asset Info'!B9&lt;&gt;"Internet"),"Y",IF(AND(F60="Yes",'Asset Info'!B5="Desktop"),"Y","N"))</f>
        <v>N</v>
      </c>
      <c r="K60" s="87"/>
    </row>
    <row r="61" spans="1:11" ht="62.25" customHeight="1">
      <c r="A61" s="119"/>
      <c r="B61" s="121"/>
      <c r="C61" s="11">
        <v>1.1000000000000001</v>
      </c>
      <c r="D61" s="187" t="s">
        <v>98</v>
      </c>
      <c r="E61" s="204" t="str">
        <f>IF('Asset Info'!B5="Desktop","No",IF(AND('Asset Info'!B9="Internet",F60="Yes"),"Yes","No"))</f>
        <v>No</v>
      </c>
      <c r="F61" s="112"/>
      <c r="G61" s="65" t="str">
        <f>IF(ISBLANK(F61),"",IF(F61="Yes","Application has mechanisms to defend brute force attack by having strong password policy, account lockout mechanism and securely storing password. It has mechanism to block IP address on multiple invalid attempts.","Application have strong password policy, account lockout mechanism and securely stores password. However recommend to block the IP Address incase invalid attempts are done from same Ipaddress."))</f>
        <v/>
      </c>
      <c r="H61" s="120"/>
      <c r="I61" s="116"/>
      <c r="J61" s="209" t="str">
        <f>IF($F61="Yes","Y","N")</f>
        <v>N</v>
      </c>
      <c r="K61" s="87"/>
    </row>
    <row r="62" spans="1:11" ht="40.5" customHeight="1">
      <c r="A62" s="119"/>
      <c r="B62" s="121"/>
      <c r="C62" s="11">
        <v>1.2</v>
      </c>
      <c r="D62" s="187" t="str">
        <f>IF(OR(OR(AND('Asset Info'!B5="Desktop",F7="Yes"),'Asset Info'!B5="Code based library"),'Asset Info'!B5="APIs Only"),"NA",IF(F7="Yes","NA","Others"))</f>
        <v>Others</v>
      </c>
      <c r="E62" s="204" t="str">
        <f>IF(D62="NA","No",IF(F60="Yes","No","Yes"))</f>
        <v>Yes</v>
      </c>
      <c r="F62" s="129"/>
      <c r="G62" s="65"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application",IF(F7="Yes","Application does not have user registration module and connect to customer LDAP/IDM/SSO to identify and authenticate the user.",""))))))</f>
        <v/>
      </c>
      <c r="H62" s="120"/>
      <c r="I62" s="116"/>
      <c r="J62" s="208" t="str">
        <f>IF(D62="NA","NA","N")</f>
        <v>N</v>
      </c>
      <c r="K62" s="118" t="str">
        <f>IF(AND($F62="Yes",ISBLANK($H62)),"Please enter your comments","")</f>
        <v/>
      </c>
    </row>
    <row r="63" spans="1:11" ht="36">
      <c r="A63" s="31">
        <v>12</v>
      </c>
      <c r="B63" s="32" t="s">
        <v>99</v>
      </c>
      <c r="C63" s="33">
        <v>1</v>
      </c>
      <c r="D63" s="195" t="s">
        <v>100</v>
      </c>
      <c r="E63" s="87" t="str">
        <f>IF(OR(OR(AND('Asset Info'!B5="Desktop",F7="Yes"),'Asset Info'!B5="Code based library"),'Asset Info'!B5="APIs Only"),"No","Yes")</f>
        <v>Yes</v>
      </c>
      <c r="F63" s="129"/>
      <c r="G63" s="64" t="str">
        <f>IF(ISBLANK(F63),"",IF(F63="Yes","","Application does not bypass authentication for accessing any application feature."))</f>
        <v/>
      </c>
      <c r="H63" s="116"/>
      <c r="I63" s="116"/>
      <c r="J63" s="209" t="str">
        <f>IF($F63="No","Y","N")</f>
        <v>N</v>
      </c>
      <c r="K63" s="87"/>
    </row>
    <row r="64" spans="1:11" ht="24">
      <c r="A64" s="119"/>
      <c r="B64" s="121"/>
      <c r="C64" s="11">
        <v>1.1000000000000001</v>
      </c>
      <c r="D64" s="187" t="s">
        <v>101</v>
      </c>
      <c r="E64" s="188" t="str">
        <f>IF(AND(F65&lt;&gt;"Yes",$F63="Yes"),"Yes","No")</f>
        <v>No</v>
      </c>
      <c r="F64" s="129"/>
      <c r="G64" s="65" t="str">
        <f>IF(ISBLANK(F64),"",IF(F64="Yes","Application does not bypass authentication for accessing any application feature.","Application should not allow any page without authentication. Bypassing of credentials should not be allowed."))</f>
        <v/>
      </c>
      <c r="H64" s="120"/>
      <c r="I64" s="116"/>
      <c r="J64" s="209" t="str">
        <f>IF($F64="Yes","Y","N")</f>
        <v>N</v>
      </c>
      <c r="K64" s="87"/>
    </row>
    <row r="65" spans="1:11">
      <c r="A65" s="119"/>
      <c r="B65" s="121"/>
      <c r="C65" s="11">
        <v>1.2</v>
      </c>
      <c r="D65" s="187" t="str">
        <f>IF(OR(OR(AND('Asset Info'!B5="Desktop",F7="Yes"),'Asset Info'!B5="Code based library"),'Asset Info'!B5="APIs Only"),"NA","Others")</f>
        <v>Others</v>
      </c>
      <c r="E65" s="188" t="str">
        <f>IF(OR(D65="NA",F63&lt;&gt;"Yes"),"No","Yes")</f>
        <v>No</v>
      </c>
      <c r="F65" s="129"/>
      <c r="G65" s="65" t="str">
        <f>IF(AND('Asset Info'!B5="Desktop",F7="Yes"),"Application has no user registration module and is available as Desktop Application without user authentication.",IF('Asset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application",IF(AND(F16="Yes",E65="Yes"),"Application does not have user registration module and connect to customer LDAP/IDM/SSO to identify and authenticate the user.",""))))))</f>
        <v/>
      </c>
      <c r="H65" s="120"/>
      <c r="I65" s="116"/>
      <c r="J65" s="208" t="str">
        <f>IF(D65="NA","NA","N")</f>
        <v>N</v>
      </c>
      <c r="K65" s="118" t="str">
        <f>IF(AND($F65="Yes",ISBLANK($H65)),"Please enter your comments","")</f>
        <v/>
      </c>
    </row>
    <row r="66" spans="1:11" ht="36">
      <c r="A66" s="31">
        <v>13</v>
      </c>
      <c r="B66" s="32" t="s">
        <v>102</v>
      </c>
      <c r="C66" s="33">
        <v>1</v>
      </c>
      <c r="D66" s="195" t="s">
        <v>103</v>
      </c>
      <c r="E66" s="87" t="str">
        <f>IF(D67="NA","No","Yes")</f>
        <v>Yes</v>
      </c>
      <c r="F66" s="129"/>
      <c r="G66" s="64" t="str">
        <f>IF(ISBLANK(F66),"",IF(F66="Yes","","Application should have logout option in all the pages when user authentication is enabled."))</f>
        <v/>
      </c>
      <c r="H66" s="116"/>
      <c r="I66" s="116"/>
      <c r="J66" s="209" t="str">
        <f>IF(AND('Asset Info'!B5="Desktop",F66="Yes"),"Y","N")</f>
        <v>N</v>
      </c>
      <c r="K66" s="87"/>
    </row>
    <row r="67" spans="1:11">
      <c r="A67" s="31"/>
      <c r="B67" s="122"/>
      <c r="C67" s="33">
        <v>2</v>
      </c>
      <c r="D67" s="187" t="str">
        <f>IF(OR(OR(AND('Asset Info'!B5="Desktop",F7="Yes"),'Asset Info'!B5="Code based library"),'Asset Info'!B5="APIs Only"),"NA","Others")</f>
        <v>Others</v>
      </c>
      <c r="E67" s="87" t="str">
        <f>IF(D67="NA","No","Yes")</f>
        <v>Yes</v>
      </c>
      <c r="F67" s="129"/>
      <c r="G67" s="64" t="str">
        <f>IF(D67="NA","Application do not have any user authentication and hence no logout option available.","")</f>
        <v/>
      </c>
      <c r="H67" s="116"/>
      <c r="I67" s="116"/>
      <c r="J67" s="209" t="str">
        <f>IF($D67="NA","NA","N")</f>
        <v>N</v>
      </c>
      <c r="K67" s="87"/>
    </row>
    <row r="68" spans="1:11" ht="36">
      <c r="A68" s="31"/>
      <c r="B68" s="122"/>
      <c r="C68" s="8">
        <v>1.1000000000000001</v>
      </c>
      <c r="D68" s="186" t="s">
        <v>104</v>
      </c>
      <c r="E68" s="87" t="str">
        <f>IF('Asset Info'!B5="Desktop","No",IF($F66="Yes","Yes","No"))</f>
        <v>No</v>
      </c>
      <c r="F68" s="129"/>
      <c r="G68" s="64"/>
      <c r="H68" s="116"/>
      <c r="I68" s="116"/>
      <c r="J68" s="209"/>
      <c r="K68" s="87"/>
    </row>
    <row r="69" spans="1:11" ht="24">
      <c r="A69" s="31"/>
      <c r="B69" s="122"/>
      <c r="C69" s="8" t="s">
        <v>68</v>
      </c>
      <c r="D69" s="186" t="s">
        <v>105</v>
      </c>
      <c r="E69" s="87" t="str">
        <f>IF(AND(E68="Yes",F68="Yes"),"Yes","No")</f>
        <v>No</v>
      </c>
      <c r="F69" s="129"/>
      <c r="G69" s="64" t="str">
        <f>IF(ISBLANK(F69),"",IF(F69&lt;&gt;"Yes","Application has logout option available. Application stored sensitive data in browser cache or local storage and is recommended to clear local storage or cache on logout.",""))</f>
        <v/>
      </c>
      <c r="H69" s="116"/>
      <c r="I69" s="116"/>
      <c r="J69" s="209" t="str">
        <f>IF(OR(F69="No",F69="NA"),"N","")</f>
        <v/>
      </c>
      <c r="K69" s="87"/>
    </row>
    <row r="70" spans="1:11" ht="24">
      <c r="A70" s="119"/>
      <c r="B70" s="121"/>
      <c r="C70" s="11" t="s">
        <v>70</v>
      </c>
      <c r="D70" s="187" t="s">
        <v>106</v>
      </c>
      <c r="E70" s="188" t="str">
        <f>IF(ISBLANK(F68),"No",IF(OR(F68&lt;&gt;"Yes",NOT(ISBLANK(F69))),"Yes","No"))</f>
        <v>No</v>
      </c>
      <c r="F70" s="129"/>
      <c r="G70" s="65" t="str">
        <f>IF(ISBLANK(F70),"",IF(AND(F70="Yes",F69="Yes"),"Application has logout option available. Application stored sensitive data in browser cache or local storage and it is cleared on logout along with session or token invalidation.",IF(AND(AND(F70="Yes",F68="Yes"),F69="No"),"Application has logout option available. Application stored sensitive data in browser cache or local storage and it is not cleared on logout. Recommended to clear the browser cache or local storage on logout. Session or token on is invalidated on logout.",IF(AND(F70="Yes",F68&lt;&gt;"Yes"),"Application has logout option available. Session or token invalidated on logout. Application do not store any sensitvie data in local storage or browser cache",IF(AND(F70&lt;&gt;"Yes",F69="Yes"),"Application has logout option available. Application stored sensitive data in browser cache or local storage and it is cleared on logout. Recommend to invalidate the session or token on logout.",IF(AND(AND(F70&lt;&gt;"Yes",F68="Yes"),F69="No"),"Application has logout option available. Application stored sensitive data in browser cache or local storage and it is not cleared on logout. Recommended to clear the browser cache or local storage and invalidate the session or token on logout.","Invalidate session on logout"))))))</f>
        <v/>
      </c>
      <c r="H70" s="120"/>
      <c r="I70" s="116"/>
      <c r="J70" s="209" t="str">
        <f>IF(ISBLANK(F70),"",IF(AND(F70="Yes",F69="Yes"),"Y",IF(AND(AND(F70="Yes",F68="Yes"),F69="No"),"N",IF(AND(F70&lt;&gt;"Yes",F69="Yes"),"N",IF(AND(AND(F70&lt;&gt;"Yes",F68="Yes"),F69="No"),"N",IF(AND(F70="Yes",F68&lt;&gt;"Yes"),"Y",""))))))</f>
        <v/>
      </c>
      <c r="K70" s="87"/>
    </row>
    <row r="71" spans="1:11" ht="48">
      <c r="A71" s="31">
        <v>14</v>
      </c>
      <c r="B71" s="32" t="s">
        <v>107</v>
      </c>
      <c r="C71" s="8">
        <v>1</v>
      </c>
      <c r="D71" s="186" t="s">
        <v>108</v>
      </c>
      <c r="E71" s="188" t="str">
        <f>IF(D72="NA","No","Yes")</f>
        <v>Yes</v>
      </c>
      <c r="F71" s="113"/>
      <c r="G71" s="64" t="str">
        <f>IF(ISBLANK(F71),"",IF(F71&lt;&gt;"Yes","Application do not have any public pages that are available without user authenticated to the system and hence CAPTCHA is not enforced.",""))</f>
        <v/>
      </c>
      <c r="H71" s="116"/>
      <c r="I71" s="116"/>
      <c r="J71" s="208" t="str">
        <f>IF(ISBLANK(F71),"",IF(F71&lt;&gt;"Yes","Y","N"))</f>
        <v/>
      </c>
      <c r="K71" s="87"/>
    </row>
    <row r="72" spans="1:11" ht="40.5" customHeight="1">
      <c r="A72" s="31"/>
      <c r="B72" s="36"/>
      <c r="C72" s="33">
        <v>2</v>
      </c>
      <c r="D72" s="196" t="str">
        <f>IF(OR(OR('Asset Info'!B5="Desktop",'Asset Info'!B5="Code based library"),'Asset Info'!B5="APIs Only"),"NA","Others")</f>
        <v>Others</v>
      </c>
      <c r="E72" s="87" t="str">
        <f>IF(D72="NA","No",IF(ISBLANK($F71),"Yes","No"))</f>
        <v>Yes</v>
      </c>
      <c r="F72" s="106"/>
      <c r="G72" s="70" t="str">
        <f>IF('Asset Info'!B5="Desktop","Application is available as Desktop Application, CAPTCHA is not applicable.",IF('Asset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application",IF(AND(F16="Yes",E72="Yes"),"Application does not have user registration module and connect to customer LDAP/IDM/SSO to identify and authenticate the user.",""))))))</f>
        <v/>
      </c>
      <c r="H72" s="116"/>
      <c r="I72" s="116"/>
      <c r="J72" s="208" t="str">
        <f>IF(D72="NA","NA","N")</f>
        <v>N</v>
      </c>
      <c r="K72" s="87" t="str">
        <f>IF(AND($F72="Yes",ISBLANK($H72)),"Please enter your comments","")</f>
        <v/>
      </c>
    </row>
    <row r="73" spans="1:11">
      <c r="A73" s="31"/>
      <c r="B73" s="122"/>
      <c r="C73" s="8">
        <v>1.1000000000000001</v>
      </c>
      <c r="D73" s="186" t="s">
        <v>109</v>
      </c>
      <c r="E73" s="205" t="str">
        <f>IF($F71="Yes","Yes","No")</f>
        <v>No</v>
      </c>
      <c r="F73" s="113"/>
      <c r="G73" s="64" t="str">
        <f>IF(ISBLANK(F73),"",IF(AND(F73&lt;&gt;"Yes",'Asset Info'!B9="Intranet"),"Since it is an intranet application enforcing CAPTCHA at all public pages that doesn't require authentication is not mandatory.",IF(F73&lt;&gt;"Yes","Application should enforce CAPTCHA at all public pages that doesn't require authentication like login or feedback page.","")))</f>
        <v/>
      </c>
      <c r="H73" s="116"/>
      <c r="I73" s="116"/>
      <c r="J73" s="208" t="str">
        <f>IF(AND('Asset Info'!B9="Intranet",F73="No"),"Y","N")</f>
        <v>N</v>
      </c>
      <c r="K73" s="87"/>
    </row>
    <row r="74" spans="1:11" ht="24">
      <c r="A74" s="31"/>
      <c r="B74" s="122"/>
      <c r="C74" s="8" t="s">
        <v>68</v>
      </c>
      <c r="D74" s="184" t="s">
        <v>110</v>
      </c>
      <c r="E74" s="118" t="str">
        <f>IF($F73="Yes","Yes","No")</f>
        <v>No</v>
      </c>
      <c r="F74" s="106"/>
      <c r="G74" s="64" t="str">
        <f>IF(ISBLANK(F74),"",IF(F74="Yes","Application enforces CAPTCHA at all public pages that doesn't require authnetication. Standard CAPTCHA libraries are used for implementation",""))</f>
        <v/>
      </c>
      <c r="H74" s="116"/>
      <c r="I74" s="116"/>
      <c r="J74" s="208" t="str">
        <f>IF($F74="Yes","Y","")</f>
        <v/>
      </c>
      <c r="K74" s="87"/>
    </row>
    <row r="75" spans="1:11" ht="24">
      <c r="A75" s="119"/>
      <c r="B75" s="121"/>
      <c r="C75" s="11" t="s">
        <v>111</v>
      </c>
      <c r="D75" s="185" t="s">
        <v>112</v>
      </c>
      <c r="E75" s="198" t="str">
        <f>IF(AND(E74="Yes",OR($F74="No",F74="NA")),"Yes","No")</f>
        <v>No</v>
      </c>
      <c r="F75" s="111"/>
      <c r="G75" s="65" t="str">
        <f>IF(ISBLANK(F75),"",IF(F75="Yes","Application enforces CAPTCHA at all public pages that doesn't require authnetication. CAPTCHA generation logic is available at server side.","Application enforces CAPTCHA at all public pages that doesn't require authnetication. CAPTCHA generation logic is available at client side. It is recommended to have CAPTCHA generation logic at server side."))</f>
        <v/>
      </c>
      <c r="H75" s="120"/>
      <c r="I75" s="116"/>
      <c r="J75" s="208" t="str">
        <f>IF(ISBLANK(F75),"",IF($F75="Yes","Y","N"))</f>
        <v/>
      </c>
      <c r="K75" s="87"/>
    </row>
    <row r="76" spans="1:11" ht="36">
      <c r="A76" s="31">
        <v>15</v>
      </c>
      <c r="B76" s="32" t="s">
        <v>113</v>
      </c>
      <c r="C76" s="33">
        <v>1</v>
      </c>
      <c r="D76" s="195" t="s">
        <v>114</v>
      </c>
      <c r="E76" s="188" t="str">
        <f>IF(D77="NA","No","Yes")</f>
        <v>Yes</v>
      </c>
      <c r="F76" s="113"/>
      <c r="G76" s="65" t="str">
        <f>IF(AND(NOT(ISBLANK(F76)),F76&lt;&gt;"Yes"),"The application does not allow multiple sessions at the same time for the same user account",IF(AND(NOT(ISBLANK(F76)),OR('Asset Info'!B10="Yes",'Asset Info'!B11="Yes")),"Do not allow multiple sessions at the same time for the same user account",""))</f>
        <v/>
      </c>
      <c r="H76" s="116"/>
      <c r="I76" s="116"/>
      <c r="J76" s="208" t="str">
        <f>IF(OR(F76="No",F76="NA"),"Y","N")</f>
        <v>N</v>
      </c>
      <c r="K76" s="87"/>
    </row>
    <row r="77" spans="1:11" ht="42.75" customHeight="1">
      <c r="A77" s="119"/>
      <c r="B77" s="121"/>
      <c r="C77" s="11">
        <v>2</v>
      </c>
      <c r="D77" s="187" t="str">
        <f>IF(OR(OR('Asset Info'!B5="Desktop",'Asset Info'!B5="Code based library"),'Asset Info'!B5="APIs Only"),"NA","Others")</f>
        <v>Others</v>
      </c>
      <c r="E77" s="87" t="str">
        <f>IF(D77="NA","No",IF(ISBLANK($F76),"Yes","No"))</f>
        <v>Yes</v>
      </c>
      <c r="F77" s="112"/>
      <c r="G77" s="65" t="str">
        <f>IF('Asset Info'!B5="Desktop","Application is available as Desktop Application and profile cloning is not applicable.",IF('Asset Info'!B5="Code based library","Application is a code based library and do not have any user authentication",IF(AND('Asset Info'!B5="APIs Only",F17="Yes"),"API based application using API keys or authentication tokens for authenticating users or applications",IF(AND('Asset Info'!B5="APIs Only",F16="Yes"),"API based application used as a middle layer without API keys or authentication tokens",IF(AND('Asset Info'!B5="APIs Only",F20="Yes"),"API based application",IF(AND(F16="Yes",E77="Yes"),"Application does not have user registration module and connect to customer LDAP/IDM/SSO to identify and authenticate the user.",""))))))</f>
        <v/>
      </c>
      <c r="H77" s="120"/>
      <c r="I77" s="116"/>
      <c r="J77" s="208" t="str">
        <f>IF(D77="NA","NA","N")</f>
        <v>N</v>
      </c>
      <c r="K77" s="118" t="str">
        <f>IF(AND($F77="Yes",ISBLANK($H77)),"Please enter your comments","")</f>
        <v/>
      </c>
    </row>
    <row r="78" spans="1:11" ht="15.75" customHeight="1">
      <c r="A78" s="242" t="s">
        <v>115</v>
      </c>
      <c r="B78" s="242"/>
      <c r="C78" s="242"/>
      <c r="D78" s="242"/>
      <c r="E78" s="242"/>
      <c r="F78" s="242"/>
      <c r="G78" s="242"/>
      <c r="H78" s="242"/>
      <c r="I78" s="242"/>
      <c r="J78" s="243"/>
      <c r="K78" s="87"/>
    </row>
    <row r="79" spans="1:11" ht="36">
      <c r="A79" s="31">
        <v>1</v>
      </c>
      <c r="B79" s="42" t="s">
        <v>116</v>
      </c>
      <c r="C79" s="43">
        <v>1</v>
      </c>
      <c r="D79" s="210" t="s">
        <v>117</v>
      </c>
      <c r="E79" s="183" t="str">
        <f>IF(OR(OR(COUNTIF(F80:F81,"Yes")&gt;0,D81="NA"),AND('Asset Info'!B5="APIs Only",F17="Yes")),"No","Yes")</f>
        <v>Yes</v>
      </c>
      <c r="F79" s="113"/>
      <c r="G79" s="64" t="str">
        <f>IF(ISBLANK(F79),"",IF(F79="Yes","It is a single role application and every user is allowed to access all the pages.",""))</f>
        <v/>
      </c>
      <c r="H79" s="116"/>
      <c r="I79" s="116"/>
      <c r="J79" s="208" t="str">
        <f>IF(F79="Yes","Y","N")</f>
        <v>N</v>
      </c>
      <c r="K79" s="87"/>
    </row>
    <row r="80" spans="1:11">
      <c r="A80" s="31"/>
      <c r="B80" s="122"/>
      <c r="C80" s="43">
        <v>2</v>
      </c>
      <c r="D80" s="210" t="s">
        <v>118</v>
      </c>
      <c r="E80" s="183" t="str">
        <f>IF(OR(OR(OR(F79="Yes",F81="Yes"),D81="NA"),AND('Asset Info'!B5="APIs Only",F17="Yes")),"No","Yes")</f>
        <v>Yes</v>
      </c>
      <c r="F80" s="113"/>
      <c r="G80" s="64"/>
      <c r="H80" s="116"/>
      <c r="I80" s="116"/>
      <c r="J80" s="208" t="str">
        <f>IF(F80="Yes",J82,"N")</f>
        <v>N</v>
      </c>
      <c r="K80" s="87"/>
    </row>
    <row r="81" spans="1:11" ht="38.25" customHeight="1">
      <c r="A81" s="31"/>
      <c r="B81" s="122"/>
      <c r="C81" s="43">
        <v>3</v>
      </c>
      <c r="D81" s="210" t="str">
        <f>IF(OR(OR('Asset Info'!B5="Desktop",'Asset Info'!B5="Code based library"),AND('Asset Info'!B5="APIs Only",F16="Yes")),"NA",IF(AND('Asset Info'!B5="APIs Only",F17="Yes"),"Is the authorization for APIs is validated at server side?","Others"))</f>
        <v>Others</v>
      </c>
      <c r="E81" s="183" t="str">
        <f>IF(D81="NA","No",IF(COUNTIF(F79:F80,"Yes")&gt;0,"No","Yes"))</f>
        <v>Yes</v>
      </c>
      <c r="F81" s="113"/>
      <c r="G81" s="64" t="str">
        <f>IF('Asset Info'!B5="Desktop","Application has no user authorization as it is available as Desktop Application.",IF('Asset Info'!B5="Code based library","Application is a code based library and do not have any user authentication and authorization",IF(AND('Asset Info'!B5="APIs Only",F16="Yes"),"API based application used as a middle layer without API keys or authentication tokens",IF(AND(AND('Asset Info'!B5="APIs Only",F17="Yes"),F81="Yes"),"APIs are validated for authorization",IF(F81="No","Recommend to have authorization check for APIs","")))))</f>
        <v/>
      </c>
      <c r="H81" s="116"/>
      <c r="I81" s="116"/>
      <c r="J81" s="208" t="str">
        <f>IF(D81="NA","NA",IF(AND(AND('Asset Info'!B5="APIs Only",F17="Yes"),F81="Yes"),"Y","N"))</f>
        <v>N</v>
      </c>
      <c r="K81" s="87" t="str">
        <f>IF(AND(AND($F81="Yes",ISBLANK($H81)),D81="Others"),"Please enter your comments","")</f>
        <v/>
      </c>
    </row>
    <row r="82" spans="1:11" ht="61.5" customHeight="1">
      <c r="A82" s="31"/>
      <c r="B82" s="122"/>
      <c r="C82" s="43">
        <v>2.1</v>
      </c>
      <c r="D82" s="210" t="s">
        <v>119</v>
      </c>
      <c r="E82" s="87" t="str">
        <f>IF($F80="Yes","Yes","No")</f>
        <v>No</v>
      </c>
      <c r="F82" s="113"/>
      <c r="G82" s="64" t="str">
        <f>IF(ISBLANK(F82),"",IF(F82="Yes","Application has multiple roles. Authorization is checked before each transaction at server side irrespective of the checks done at the client side . Only the users with right privileges can access application.","Application has multiple roles. Recommend that authorization is checked before each transaction at server side irrespective of the checks done at the client side . Only the users with right privileges should be able to access the application"))</f>
        <v/>
      </c>
      <c r="H82" s="116"/>
      <c r="I82" s="116"/>
      <c r="J82" s="209" t="str">
        <f>IF($F82="Yes","Y","N")</f>
        <v>N</v>
      </c>
      <c r="K82" s="87"/>
    </row>
    <row r="83" spans="1:11" ht="60">
      <c r="A83" s="31">
        <v>2</v>
      </c>
      <c r="B83" s="42" t="s">
        <v>120</v>
      </c>
      <c r="C83" s="43">
        <v>1</v>
      </c>
      <c r="D83" s="210" t="str">
        <f>IF('Asset Info'!B5="Desktop","Does the application require admin privileges on the system to run the application?","Is access to production systems and business applications restricted to only the support team or admin team?")</f>
        <v>Is access to production systems and business applications restricted to only the support team or admin team?</v>
      </c>
      <c r="E83" s="188" t="str">
        <f>IF(AND(ISBLANK(F84),D84&lt;&gt;"NA"),"Yes","No")</f>
        <v>Yes</v>
      </c>
      <c r="F83" s="113"/>
      <c r="G83" s="64" t="str">
        <f>IF(AND('Asset Info'!B5="Desktop",F83="Yes"),"Recommend to avoid admin privileges to run the application",IF(AND('Asset Info'!B5="Desktop",F83="No"),"Application runs on the desktop without admin privileges",IF(ISBLANK(F83),"",IF(F83="Yes","System access is restricted for normal users. Only the support team or admin team is provided access to the server systems.","Recommend to have access to the production systems is provided to the designated support team or administrators. Developers and other uers should be restricted from accessing these systems."))))</f>
        <v/>
      </c>
      <c r="H83" s="116"/>
      <c r="I83" s="116"/>
      <c r="J83" s="209" t="str">
        <f>IF(AND('Asset Info'!B5="Desktop",OR(F83="No",F83="NA")),"Y",IF(F83="Yes","Y","N"))</f>
        <v>N</v>
      </c>
      <c r="K83" s="87"/>
    </row>
    <row r="84" spans="1:11" ht="39" customHeight="1">
      <c r="A84" s="31"/>
      <c r="B84" s="44"/>
      <c r="C84" s="11">
        <v>2</v>
      </c>
      <c r="D84" s="187" t="str">
        <f>IF('Asset Info'!B5="Code based library","NA","Others")</f>
        <v>Others</v>
      </c>
      <c r="E84" s="188" t="str">
        <f>IF(ISBLANK(F83),"Yes","No")</f>
        <v>Yes</v>
      </c>
      <c r="F84" s="112"/>
      <c r="G84" s="64" t="str">
        <f>IF('Asset Info'!B5="Code based library","Application is a code based library and is integrated with the high end system","")</f>
        <v/>
      </c>
      <c r="H84" s="120"/>
      <c r="I84" s="116"/>
      <c r="J84" s="208" t="str">
        <f>IF(D84="NA","Y","N")</f>
        <v>N</v>
      </c>
      <c r="K84" s="118" t="str">
        <f>IF(AND($F84="Yes",ISBLANK($H84)),"Please enter your comments","")</f>
        <v/>
      </c>
    </row>
    <row r="85" spans="1:11" ht="60">
      <c r="A85" s="31">
        <v>3</v>
      </c>
      <c r="B85" s="42" t="s">
        <v>121</v>
      </c>
      <c r="C85" s="131">
        <v>1</v>
      </c>
      <c r="D85" s="210" t="s">
        <v>122</v>
      </c>
      <c r="E85" s="188" t="str">
        <f>IF(AND(ISBLANK(F86),D86&lt;&gt;"NA"),"Yes","No")</f>
        <v>Yes</v>
      </c>
      <c r="F85" s="132"/>
      <c r="G85" s="64" t="str">
        <f>IF(ISBLANK(F85),"",IF(F85="Yes","Session identifiers or tokens are generated securely by using proven frameworks like Spring Security, Django, Rails, JWT, OAuth, SAML and so on.","Session identifiers or toekn should be generated securely. Recommend to use proven frameworks like Spring Security, Django, Rails, JWT, OAuth, SAML and so on."))</f>
        <v/>
      </c>
      <c r="H85" s="133"/>
      <c r="I85" s="133"/>
      <c r="J85" s="209" t="str">
        <f>IF($F85="Yes","Y","N")</f>
        <v>N</v>
      </c>
      <c r="K85" s="87"/>
    </row>
    <row r="86" spans="1:11" ht="44.25" customHeight="1">
      <c r="A86" s="31"/>
      <c r="B86" s="44"/>
      <c r="C86" s="11">
        <v>2</v>
      </c>
      <c r="D86" s="187" t="str">
        <f>IF(OR(OR('Asset Info'!B5="Desktop",'Asset Info'!B5="Code based library"),AND('Asset Info'!B5="APIs Only",F16="Yes")),"NA","Others")</f>
        <v>Others</v>
      </c>
      <c r="E86" s="188" t="str">
        <f>IF(D86="NA","No",IF(ISBLANK(F85),"Yes","No"))</f>
        <v>Yes</v>
      </c>
      <c r="F86" s="112"/>
      <c r="G86" s="64" t="str">
        <f>IF('Asset Info'!B5="Desktop","Application has no session management as it is available as Desktop Application.",IF('Asset Info'!B5="Code based library","Application has no session management as it is available as a code based library",IF(AND('Asset Info'!B5="APIs Only",F16="Yes"),"API based application used as a middle layer without API keys or authentication tokens","")))</f>
        <v/>
      </c>
      <c r="H86" s="120"/>
      <c r="I86" s="116"/>
      <c r="J86" s="208" t="str">
        <f>IF(D86="NA","NA","N")</f>
        <v>N</v>
      </c>
      <c r="K86" s="118" t="str">
        <f>IF(AND($F86="Yes",ISBLANK($H86)),"Please enter your comments","")</f>
        <v/>
      </c>
    </row>
    <row r="87" spans="1:11" ht="36" customHeight="1">
      <c r="A87" s="31">
        <v>4</v>
      </c>
      <c r="B87" s="42" t="s">
        <v>123</v>
      </c>
      <c r="C87" s="43">
        <v>1</v>
      </c>
      <c r="D87" s="210" t="s">
        <v>124</v>
      </c>
      <c r="E87" s="188" t="str">
        <f>IF(AND(ISBLANK(F88),D88&lt;&gt;"NA"),"Yes","No")</f>
        <v>Yes</v>
      </c>
      <c r="F87" s="132"/>
      <c r="G87" s="72" t="str">
        <f>IF(ISBLANK(F87),"",IF(F87&lt;&gt;"Yes","Recommend to have configurable session time-out with max of 30mins. Application should invalidate the session on time-out.",""))</f>
        <v/>
      </c>
      <c r="H87" s="133"/>
      <c r="I87" s="133"/>
      <c r="J87" s="208" t="str">
        <f>IF(ISBLANK(F87),"",IF($F87&lt;&gt;"Yes","N",""))</f>
        <v/>
      </c>
      <c r="K87" s="87"/>
    </row>
    <row r="88" spans="1:11" ht="41.25" customHeight="1">
      <c r="A88" s="31"/>
      <c r="B88" s="46"/>
      <c r="C88" s="11">
        <v>2</v>
      </c>
      <c r="D88" s="187" t="str">
        <f>IF(OR(OR('Asset Info'!B5="Desktop",'Asset Info'!B5="Code based library"),AND('Asset Info'!B5="APIs Only",F16="Yes")),"NA","Others")</f>
        <v>Others</v>
      </c>
      <c r="E88" s="188" t="str">
        <f>IF(D88="NA","No",IF(ISBLANK(F87),"Yes","No"))</f>
        <v>Yes</v>
      </c>
      <c r="F88" s="112"/>
      <c r="G88" s="64" t="str">
        <f>IF('Asset Info'!B5="Desktop","Application has no session management as it is available as Desktop Application.",IF('Asset Info'!B5="Code based library","Application has no session management as it is available as a code based library",IF(AND('Asset Info'!B5="APIs Only",F16="Yes"),"API based application used as a middle layer without API keys or authentication tokens","")))</f>
        <v/>
      </c>
      <c r="H88" s="120"/>
      <c r="I88" s="116"/>
      <c r="J88" s="208" t="str">
        <f>IF(D88="NA","NA","N")</f>
        <v>N</v>
      </c>
      <c r="K88" s="118" t="str">
        <f>IF(AND($F88="Yes",ISBLANK($H88)),"Please enter your comments","")</f>
        <v/>
      </c>
    </row>
    <row r="89" spans="1:11" ht="38.25" customHeight="1">
      <c r="A89" s="31"/>
      <c r="B89" s="134"/>
      <c r="C89" s="43">
        <v>1.1000000000000001</v>
      </c>
      <c r="D89" s="211" t="s">
        <v>125</v>
      </c>
      <c r="E89" s="212" t="str">
        <f>IF(F87="Yes","Yes","No")</f>
        <v>No</v>
      </c>
      <c r="F89" s="132"/>
      <c r="G89" s="72" t="str">
        <f>IF(ISBLANK(F89),"",IF(F89&lt;&gt;"Yes","Application has configurable timeout. However recommend to configure session or token timeout for max of 30mins.","Application has configurable timeout with max of 30mins."))</f>
        <v/>
      </c>
      <c r="H89" s="133"/>
      <c r="I89" s="133"/>
      <c r="J89" s="208" t="str">
        <f>IF(ISBLANK(F89),"",IF(AND(F87="Yes",F89="Yes"),"Y","N"))</f>
        <v/>
      </c>
      <c r="K89" s="87"/>
    </row>
    <row r="90" spans="1:11" ht="49.5" customHeight="1">
      <c r="A90" s="31">
        <v>5</v>
      </c>
      <c r="B90" s="42" t="s">
        <v>126</v>
      </c>
      <c r="C90" s="43">
        <v>1</v>
      </c>
      <c r="D90" s="210" t="str">
        <f>IF(OR(OR('Asset Info'!B5="Desktop",'Asset Info'!B5="Code based library"),'Asset Info'!B5="APIs Only"),"NA","Does the Application restrict direct access to file storage system?")</f>
        <v>Does the Application restrict direct access to file storage system?</v>
      </c>
      <c r="E90" s="213" t="str">
        <f>IF(D90="NA","No","Yes")</f>
        <v>Yes</v>
      </c>
      <c r="F90" s="135"/>
      <c r="G90" s="74" t="str">
        <f>IF('Asset Info'!B5="Desktop","Application is available as Desktop Application and file access restrictions are not applicable.",IF('Asset Info'!B5="Code based library","Application is available as a code based library and file access restrictions are not applicable",IF('Asset Info'!B5="APIs Only","API based application and file access restrictions are not applicable",IF(ISBLANK(F90),"",IF(F90&lt;&gt;"Yes","Recommended to have restricted access to files on the servers. Provide options like upload/download based on the authorization privileges instead of providing direct access.","")))))</f>
        <v/>
      </c>
      <c r="H90" s="136"/>
      <c r="I90" s="137"/>
      <c r="J90" s="208" t="str">
        <f>IF(D90="NA","NA","N")</f>
        <v>N</v>
      </c>
      <c r="K90" s="87"/>
    </row>
    <row r="91" spans="1:11" ht="36">
      <c r="A91" s="31"/>
      <c r="B91" s="134"/>
      <c r="C91" s="43">
        <v>1.1000000000000001</v>
      </c>
      <c r="D91" s="214" t="s">
        <v>127</v>
      </c>
      <c r="E91" s="118" t="str">
        <f>IF(OR(F92="Yes",OR(E90="No",F90&lt;&gt;"Yes")),"No","Yes")</f>
        <v>No</v>
      </c>
      <c r="F91" s="138"/>
      <c r="G91" s="75" t="str">
        <f>IF(ISBLANK(F91),"",IF(F91&lt;&gt;"Yes","Application does not allow direct access to files storage system. However recommend to restrict request methods like put and delete while accessing the files.","Application does not allow direct access to files storage system and restricts request methods like put and delete while accessing the files."))</f>
        <v/>
      </c>
      <c r="H91" s="136"/>
      <c r="I91" s="137"/>
      <c r="J91" s="208" t="str">
        <f>IF(OR(F90&lt;&gt;"Yes",ISBLANK(E91)),"",IF($F91&lt;&gt;"Yes","N","Y"))</f>
        <v/>
      </c>
      <c r="K91" s="87"/>
    </row>
    <row r="92" spans="1:11">
      <c r="A92" s="31"/>
      <c r="B92" s="139"/>
      <c r="C92" s="43">
        <v>1.2</v>
      </c>
      <c r="D92" s="214" t="s">
        <v>46</v>
      </c>
      <c r="E92" s="118" t="str">
        <f>IF(OR(F91="Yes",OR(E90="No",F90&lt;&gt;"Yes")),"No","Yes")</f>
        <v>No</v>
      </c>
      <c r="F92" s="138"/>
      <c r="G92" s="64"/>
      <c r="H92" s="140"/>
      <c r="I92" s="116"/>
      <c r="J92" s="208" t="s">
        <v>47</v>
      </c>
      <c r="K92" s="118" t="str">
        <f>IF(AND($F92="Yes",ISBLANK($H92)),"Please enter your comments","")</f>
        <v/>
      </c>
    </row>
    <row r="93" spans="1:11" ht="36">
      <c r="A93" s="31">
        <v>6</v>
      </c>
      <c r="B93" s="42" t="s">
        <v>128</v>
      </c>
      <c r="C93" s="43">
        <v>1</v>
      </c>
      <c r="D93" s="215" t="s">
        <v>129</v>
      </c>
      <c r="E93" s="188" t="str">
        <f>IF(OR(OR('Asset Info'!B5="Desktop",'Asset Info'!B5="Code based library"),'Asset Info'!B5="APIs Only"),"No",IF(ISBLANK(F94),"Yes","No"))</f>
        <v>Yes</v>
      </c>
      <c r="F93" s="132"/>
      <c r="G93" s="76"/>
      <c r="H93" s="137"/>
      <c r="I93" s="137"/>
      <c r="J93" s="208" t="str">
        <f>IF(OR(F93="No",F93="NA"),"Y","N")</f>
        <v>N</v>
      </c>
      <c r="K93" s="87"/>
    </row>
    <row r="94" spans="1:11">
      <c r="A94" s="31"/>
      <c r="B94" s="122"/>
      <c r="C94" s="11">
        <v>2</v>
      </c>
      <c r="D94" s="187" t="str">
        <f>IF(OR(OR('Asset Info'!B5="Desktop",'Asset Info'!B5="Code based library"),'Asset Info'!B5="APIs Only"),"NA","Others")</f>
        <v>Others</v>
      </c>
      <c r="E94" s="188" t="str">
        <f>IF(D94="NA","No",IF(ISBLANK(F93),"Yes","No"))</f>
        <v>Yes</v>
      </c>
      <c r="F94" s="112"/>
      <c r="G94" s="65" t="str">
        <f>IF('Asset Info'!B5="Desktop","Application is available as Desktop Application and path traversal is not applicable.",IF('Asset Info'!B5="Code based library","Application is available as a code based library and path traversal is not applicable",IF('Asset Info'!B5="APIs Only","API based application and path traversal is not applicable","")))</f>
        <v/>
      </c>
      <c r="H94" s="120"/>
      <c r="I94" s="116"/>
      <c r="J94" s="208" t="str">
        <f>IF(D94="NA","NA","N")</f>
        <v>N</v>
      </c>
      <c r="K94" s="118" t="str">
        <f>IF(AND($F94="Yes",ISBLANK($H94)),"Please enter your comments","")</f>
        <v/>
      </c>
    </row>
    <row r="95" spans="1:11" ht="96">
      <c r="A95" s="31"/>
      <c r="B95" s="122"/>
      <c r="C95" s="43">
        <v>1.1000000000000001</v>
      </c>
      <c r="D95" s="215" t="s">
        <v>130</v>
      </c>
      <c r="E95" s="87" t="str">
        <f>IF(F93="Yes","Yes","No")</f>
        <v>No</v>
      </c>
      <c r="F95" s="113"/>
      <c r="G95" s="64" t="str">
        <f>IF(ISBLANK(F95),"",IF(F95&lt;&gt;"Yes","Application accepts user input while accessing the files. However recommend to validate the user input for any malicious data inputs like ../../ or ././/./../ or any such combination of characters.","Application accepts user input while accessing the files and the user input is validated and normalized for any malicious data inputs."))</f>
        <v/>
      </c>
      <c r="H95" s="114"/>
      <c r="I95" s="114"/>
      <c r="J95" s="208" t="str">
        <f>IF(OR(F93&lt;&gt;"Yes",ISBLANK(E95)),"",IF($F95&lt;&gt;"Yes","N","Y"))</f>
        <v/>
      </c>
      <c r="K95" s="87"/>
    </row>
    <row r="96" spans="1:11" ht="89.25" customHeight="1">
      <c r="A96" s="31">
        <v>7</v>
      </c>
      <c r="B96" s="42" t="s">
        <v>131</v>
      </c>
      <c r="C96" s="43">
        <v>1</v>
      </c>
      <c r="D96" s="210" t="s">
        <v>132</v>
      </c>
      <c r="E96" s="188" t="str">
        <f>IF(AND(ISBLANK(F97),D97&lt;&gt;"NA"),"Yes","No")</f>
        <v>Yes</v>
      </c>
      <c r="F96" s="113"/>
      <c r="G96" s="64" t="str">
        <f>IF(ISBLANK(F96),"",IF(F96&lt;&gt;"Yes","Application validates the user privileges at server side. However access of server pages of another user with the same user role should be validated and restricted.","Application validate the user privileges at server side and restrict the access of server pages of another user with the same user role."))</f>
        <v/>
      </c>
      <c r="H96" s="114"/>
      <c r="I96" s="114"/>
      <c r="J96" s="208" t="str">
        <f>IF(F96="Yes","Y","N")</f>
        <v>N</v>
      </c>
      <c r="K96" s="87"/>
    </row>
    <row r="97" spans="1:11" ht="40.5" customHeight="1">
      <c r="A97" s="31"/>
      <c r="B97" s="44"/>
      <c r="C97" s="11">
        <v>2</v>
      </c>
      <c r="D97" s="187" t="str">
        <f>IF(OR(OR('Asset Info'!B5="Desktop",'Asset Info'!B5="Code based library"),'Asset Info'!B5="APIs Only"),"NA","Others")</f>
        <v>Others</v>
      </c>
      <c r="E97" s="188" t="str">
        <f>IF(D97="NA","No",IF(ISBLANK(F96),"Yes","No"))</f>
        <v>Yes</v>
      </c>
      <c r="F97" s="112"/>
      <c r="G97" s="65" t="str">
        <f>IF('Asset Info'!B5="Desktop","Application has no user authorization as it is available as Desktop Application.",IF('Asset Info'!B5="Code based library","Application has no user authorization as it is available as code based library",IF('Asset Info'!B5="APIs Only","API based application","")))</f>
        <v/>
      </c>
      <c r="H97" s="120"/>
      <c r="I97" s="116"/>
      <c r="J97" s="208" t="str">
        <f>IF(D97="NA","NA","N")</f>
        <v>N</v>
      </c>
      <c r="K97" s="118" t="str">
        <f>IF(AND($F97="Yes",ISBLANK($H97)),"Please enter your comments","")</f>
        <v/>
      </c>
    </row>
    <row r="98" spans="1:11" ht="92.25" customHeight="1">
      <c r="A98" s="31">
        <v>8</v>
      </c>
      <c r="B98" s="47" t="s">
        <v>133</v>
      </c>
      <c r="C98" s="43">
        <v>1</v>
      </c>
      <c r="D98" s="210" t="s">
        <v>134</v>
      </c>
      <c r="E98" s="188" t="str">
        <f>IF(AND(ISBLANK(F99),D99&lt;&gt;"NA"),"Yes","No")</f>
        <v>Yes</v>
      </c>
      <c r="F98" s="113"/>
      <c r="G98" s="64" t="str">
        <f>IF(ISBLANK(F98),"",IF(F98&lt;&gt;"Yes","Application validates the user privileges at server side. However access of server pages of higher privileged role should be validated and restricted.","Application validate the user privileges at server side and restrict the access of server pages of another user with the higher privileged role."))</f>
        <v/>
      </c>
      <c r="H98" s="114"/>
      <c r="I98" s="114"/>
      <c r="J98" s="208" t="str">
        <f>IF(F98="Yes","Y","N")</f>
        <v>N</v>
      </c>
      <c r="K98" s="87"/>
    </row>
    <row r="99" spans="1:11" ht="39.75" customHeight="1">
      <c r="A99" s="31"/>
      <c r="B99" s="48"/>
      <c r="C99" s="11">
        <v>2</v>
      </c>
      <c r="D99" s="187" t="str">
        <f>IF(OR(OR(OR('Asset Info'!B5="Desktop",'Asset Info'!B5="Code based library"),'Asset Info'!B5="APIs Only"),F79="Yes"),"NA","Others")</f>
        <v>Others</v>
      </c>
      <c r="E99" s="188" t="str">
        <f>IF(D99="NA","No",IF(ISBLANK(F98),"Yes","No"))</f>
        <v>Yes</v>
      </c>
      <c r="F99" s="112"/>
      <c r="G99" s="65" t="str">
        <f>IF('Asset Info'!B5="Desktop","Application has no user authorization as it is available as Desktop Application.",IF('Asset Info'!B5="Code based library","Application has no user authorization as it is available as code based library",IF('Asset Info'!B5="APIs Only","API based application",IF(F79="Yes","Vertical privilege escalation is not applicable as it is a single role application",""))))</f>
        <v/>
      </c>
      <c r="H99" s="120"/>
      <c r="I99" s="116"/>
      <c r="J99" s="208" t="str">
        <f>IF(D99="NA","NA","N")</f>
        <v>N</v>
      </c>
      <c r="K99" s="118" t="str">
        <f>IF(AND($F99="Yes",ISBLANK($H99)),"Please enter your comments","")</f>
        <v/>
      </c>
    </row>
    <row r="100" spans="1:11" ht="36">
      <c r="A100" s="31">
        <v>9</v>
      </c>
      <c r="B100" s="47" t="s">
        <v>135</v>
      </c>
      <c r="C100" s="43">
        <v>1</v>
      </c>
      <c r="D100" s="210" t="str">
        <f>IF(OR(OR('Asset Info'!B5="Desktop",'Asset Info'!B5="Code based library"),AND('Asset Info'!B5="APIs Only",F16="Yes")),"NA","Are the session identifiers or tokens stored securely on the server?")</f>
        <v>Are the session identifiers or tokens stored securely on the server?</v>
      </c>
      <c r="E100" s="87" t="str">
        <f>IF(D100="NA","No","Yes")</f>
        <v>Yes</v>
      </c>
      <c r="F100" s="113"/>
      <c r="G100" s="64" t="str">
        <f>IF('Asset Info'!B5="Desktop","Application has no session management as it is available as Desktop Application.",IF('Asset Info'!B5="Code based library","Application has no session management as it is available as code based library",IF(AND('Asset Info'!B5="APIs Only",F16="Yes"),"API based application used as a middle layer without API keys or authentication tokens",IF(AND(NOT(ISBLANK(F100)),F100&lt;&gt;"Yes"),"Recommend to store the session identifiers or tokens securely at server side.",""))))</f>
        <v/>
      </c>
      <c r="H100" s="116"/>
      <c r="I100" s="116"/>
      <c r="J100" s="208" t="str">
        <f>IF(D100="NA","NA","N")</f>
        <v>N</v>
      </c>
      <c r="K100" s="87"/>
    </row>
    <row r="101" spans="1:11" ht="24">
      <c r="A101" s="31"/>
      <c r="B101" s="122"/>
      <c r="C101" s="8">
        <v>1.1000000000000001</v>
      </c>
      <c r="D101" s="186" t="s">
        <v>136</v>
      </c>
      <c r="E101" s="87" t="str">
        <f>IF(OR(COUNTIF(F102:F103,"Yes")&gt;0,F100&lt;&gt;"Yes"),"No","Yes")</f>
        <v>No</v>
      </c>
      <c r="F101" s="129"/>
      <c r="G101" s="64"/>
      <c r="H101" s="116"/>
      <c r="I101" s="116"/>
      <c r="J101" s="208"/>
      <c r="K101" s="87"/>
    </row>
    <row r="102" spans="1:11" ht="24">
      <c r="A102" s="31"/>
      <c r="B102" s="122"/>
      <c r="C102" s="8">
        <v>1.2</v>
      </c>
      <c r="D102" s="186" t="s">
        <v>137</v>
      </c>
      <c r="E102" s="87" t="str">
        <f>IF(OR(OR(F101="Yes",F103="Yes"),F100&lt;&gt;"Yes"),"No","Yes")</f>
        <v>No</v>
      </c>
      <c r="F102" s="129"/>
      <c r="G102" s="64" t="str">
        <f>IF(ISBLANK(F102),"",IF(F102="Yes","Session identifiers or tokens stored securely in server in-memory.",""))</f>
        <v/>
      </c>
      <c r="H102" s="116"/>
      <c r="I102" s="116"/>
      <c r="J102" s="208" t="str">
        <f t="shared" ref="J102:J104" si="4">IF(F102="Yes","Y","N")</f>
        <v>N</v>
      </c>
      <c r="K102" s="87"/>
    </row>
    <row r="103" spans="1:11">
      <c r="A103" s="31"/>
      <c r="B103" s="122"/>
      <c r="C103" s="11">
        <v>1.3</v>
      </c>
      <c r="D103" s="187" t="s">
        <v>46</v>
      </c>
      <c r="E103" s="87" t="str">
        <f>IF(OR(COUNTIF(F101:F102,"Yes")&gt;0,F100&lt;&gt;"Yes"),"No","Yes")</f>
        <v>No</v>
      </c>
      <c r="F103" s="112"/>
      <c r="G103" s="65"/>
      <c r="H103" s="120"/>
      <c r="I103" s="116"/>
      <c r="J103" s="208" t="s">
        <v>47</v>
      </c>
      <c r="K103" s="118" t="str">
        <f>IF(AND($F103="Yes",ISBLANK($H103)),"Please enter your comments","")</f>
        <v/>
      </c>
    </row>
    <row r="104" spans="1:11" ht="36">
      <c r="A104" s="31"/>
      <c r="B104" s="122"/>
      <c r="C104" s="43" t="s">
        <v>68</v>
      </c>
      <c r="D104" s="210" t="s">
        <v>138</v>
      </c>
      <c r="E104" s="212" t="str">
        <f>IF(AND(F100="Yes",F101="Yes"),"Yes","No")</f>
        <v>No</v>
      </c>
      <c r="F104" s="132"/>
      <c r="G104" s="73" t="str">
        <f>IF(ISBLANK(F104),"",IF(F104&lt;&gt;"Yes","Application has configurable timeout with max of 30mins. However, recommend to invalidate the session on timeout at server side.","Application has configurable session timeout with max of 30mins. Session is invalidated on time-out at server side."))</f>
        <v/>
      </c>
      <c r="H104" s="133"/>
      <c r="I104" s="133"/>
      <c r="J104" s="208" t="str">
        <f t="shared" si="4"/>
        <v>N</v>
      </c>
      <c r="K104" s="87"/>
    </row>
    <row r="105" spans="1:11" ht="24">
      <c r="A105" s="31">
        <v>10</v>
      </c>
      <c r="B105" s="49" t="s">
        <v>139</v>
      </c>
      <c r="C105" s="43">
        <v>1</v>
      </c>
      <c r="D105" s="210" t="str">
        <f>IF(OR(OR('Asset Info'!B5="Desktop",'Asset Info'!B5="Code based library"),'Asset Info'!B5="APIs Only"),"NA","Does the application uses cookies?")</f>
        <v>Does the application uses cookies?</v>
      </c>
      <c r="E105" s="87" t="str">
        <f>IF(D105="NA","No","Yes")</f>
        <v>Yes</v>
      </c>
      <c r="F105" s="113"/>
      <c r="G105" s="64" t="str">
        <f>IF('Asset Info'!B5="Desktop","Application has no cookies as it is available as Desktop Application.",IF('Asset Info'!B5="Code based library","Application has no cookies as it is available as code based library",IF('Asset Info'!B5="APIs Only","API based application, cookies are not applicable",IF(OR(F105="No",F105="NA"),"Application does not use cookies.",""))))</f>
        <v/>
      </c>
      <c r="H105" s="116"/>
      <c r="I105" s="116"/>
      <c r="J105" s="208" t="str">
        <f>IF(D105="NA","NA",IF(OR(F105="No",F105="NA"),"Y","N"))</f>
        <v>N</v>
      </c>
      <c r="K105" s="87"/>
    </row>
    <row r="106" spans="1:11" ht="36">
      <c r="A106" s="31"/>
      <c r="B106" s="122"/>
      <c r="C106" s="43">
        <v>1.1000000000000001</v>
      </c>
      <c r="D106" s="211" t="s">
        <v>140</v>
      </c>
      <c r="E106" s="212" t="str">
        <f>IF(F105="Yes","Yes","No")</f>
        <v>No</v>
      </c>
      <c r="F106" s="132"/>
      <c r="G106" s="72" t="str">
        <f>IF(ISBLANK(F106),"",IF(F106&lt;&gt;"Yes","Recommend to set cookie secure, samesite=strict and http-only attributes.",""))</f>
        <v/>
      </c>
      <c r="H106" s="133"/>
      <c r="I106" s="133"/>
      <c r="J106" s="208"/>
      <c r="K106" s="87"/>
    </row>
    <row r="107" spans="1:11" ht="60">
      <c r="A107" s="31"/>
      <c r="B107" s="122"/>
      <c r="C107" s="43" t="s">
        <v>68</v>
      </c>
      <c r="D107" s="210" t="s">
        <v>141</v>
      </c>
      <c r="E107" s="212" t="str">
        <f>IF(F106="Yes","Yes","No")</f>
        <v>No</v>
      </c>
      <c r="F107" s="132"/>
      <c r="G107" s="73" t="str">
        <f>IF(ISBLANK(F107),"",IF(F107="Yes","Application stores sensitive data in cookies. Recommend to not store sensitive / SPDI  or authentication information, like user-ID, passwords or any business sensitive information in cookies.","Application does not store any sensitive data in cookies and secure cookie attributes are set."))</f>
        <v/>
      </c>
      <c r="H107" s="133"/>
      <c r="I107" s="133"/>
      <c r="J107" s="208" t="str">
        <f>IF(AND(F106="Yes",AND(NOT(ISBLANK(F107))),F107&lt;&gt;"Yes"),"Y","N")</f>
        <v>N</v>
      </c>
      <c r="K107" s="87"/>
    </row>
    <row r="108" spans="1:11" ht="36" customHeight="1">
      <c r="A108" s="107">
        <v>11</v>
      </c>
      <c r="B108" s="150" t="s">
        <v>142</v>
      </c>
      <c r="C108" s="59">
        <v>1</v>
      </c>
      <c r="D108" s="210" t="s">
        <v>143</v>
      </c>
      <c r="E108" s="188" t="str">
        <f>IF(OR('Asset Info'!B5="Desktop",'Asset Info'!B5="Code based library"),"No",IF(ISBLANK(F109),"Yes","No"))</f>
        <v>Yes</v>
      </c>
      <c r="F108" s="113"/>
      <c r="G108" s="64" t="str">
        <f>IF(ISBLANK(F108),"",IF(F108&lt;&gt;"Yes","New access token or session identifier is not generated on new login. Recommend to generate a new tokens or identifier on login.","On every login a new access token or session identifier is generated."))</f>
        <v/>
      </c>
      <c r="H108" s="114"/>
      <c r="I108" s="114"/>
      <c r="J108" s="208" t="str">
        <f>IF(F108="Yes","Y","N")</f>
        <v>N</v>
      </c>
      <c r="K108" s="87"/>
    </row>
    <row r="109" spans="1:11">
      <c r="A109" s="31"/>
      <c r="B109" s="14"/>
      <c r="C109" s="11">
        <v>2</v>
      </c>
      <c r="D109" s="187" t="str">
        <f>IF(OR('Asset Info'!B5="Desktop",'Asset Info'!B5="Code based library"),"NA","Others")</f>
        <v>Others</v>
      </c>
      <c r="E109" s="188" t="str">
        <f>IF(D109="NA","No",IF(ISBLANK(F108),"Yes","No"))</f>
        <v>Yes</v>
      </c>
      <c r="F109" s="112"/>
      <c r="G109" s="65" t="str">
        <f>IF('Asset Info'!B5="Desktop","Application has no session management as it is available as Desktop Application.",IF('Asset Info'!B5="Code based library","Application has no session management as it is available as code based library",""))</f>
        <v/>
      </c>
      <c r="H109" s="120"/>
      <c r="I109" s="116"/>
      <c r="J109" s="208" t="str">
        <f>IF(D109="NA","NA","N")</f>
        <v>N</v>
      </c>
      <c r="K109" s="118" t="str">
        <f>IF(AND($F109="Yes",ISBLANK($H109)),"Please enter your comments","")</f>
        <v/>
      </c>
    </row>
    <row r="110" spans="1:11" ht="15.75" customHeight="1">
      <c r="A110" s="242" t="s">
        <v>144</v>
      </c>
      <c r="B110" s="242"/>
      <c r="C110" s="242"/>
      <c r="D110" s="242"/>
      <c r="E110" s="242"/>
      <c r="F110" s="242"/>
      <c r="G110" s="242"/>
      <c r="H110" s="242"/>
      <c r="I110" s="242"/>
      <c r="J110" s="243"/>
      <c r="K110" s="87"/>
    </row>
    <row r="111" spans="1:11" ht="35.25" customHeight="1">
      <c r="A111" s="31">
        <v>1</v>
      </c>
      <c r="B111" s="42" t="s">
        <v>145</v>
      </c>
      <c r="C111" s="43">
        <v>1</v>
      </c>
      <c r="D111" s="210" t="str">
        <f>IF('Asset Info'!B5="Code based library","NA","Does the application have email,sms or file sharing functionality using FTP/SFTP?")</f>
        <v>Does the application have email,sms or file sharing functionality using FTP/SFTP?</v>
      </c>
      <c r="E111" s="213" t="str">
        <f>IF(OR('Asset Info'!B5="Desktop",'Asset Info'!B5="Code based library"),"No","Yes")</f>
        <v>Yes</v>
      </c>
      <c r="F111" s="135"/>
      <c r="G111" s="74" t="str">
        <f>IF('Asset Info'!B5="Code based library","Application is available as code based library and electronic messaging is not applicable",IF(ISBLANK(F111),"",IF(F111&lt;&gt;"Yes","Application does not have any Electronic data communication like SMS, emails or Files sharing using FTP/SFTP.","")))</f>
        <v/>
      </c>
      <c r="H111" s="136"/>
      <c r="I111" s="137"/>
      <c r="J111" s="208" t="str">
        <f>IF(D111="NA","Y",IF(ISBLANK(F111),"",IF($F111&lt;&gt;"Yes","Y","N")))</f>
        <v/>
      </c>
      <c r="K111" s="87"/>
    </row>
    <row r="112" spans="1:11" ht="50.25" customHeight="1">
      <c r="A112" s="31"/>
      <c r="B112" s="122"/>
      <c r="C112" s="43">
        <v>1.1000000000000001</v>
      </c>
      <c r="D112" s="214" t="s">
        <v>146</v>
      </c>
      <c r="E112" s="118" t="str">
        <f>IF(OR(F113="Yes",OR(E111="No",F111&lt;&gt;"Yes")),"No","Yes")</f>
        <v>No</v>
      </c>
      <c r="F112" s="138"/>
      <c r="G112" s="74" t="str">
        <f>IF(ISBLANK(F112),"",IF(F112&lt;&gt;"Yes","Application uses insecure channel of communication. It is recommended to use only secure channels such as https, secure smtp, secure jms, sftp.","Application does have electronic data communication like SMS, emails or Files sharing using FTP/SFTP and it happens on a secure channel like https, secure smtp, secure jms, sftp."))</f>
        <v/>
      </c>
      <c r="H112" s="136"/>
      <c r="I112" s="137"/>
      <c r="J112" s="208" t="str">
        <f>IF(OR(F111&lt;&gt;"Yes",ISBLANK(E112)),"",IF($F112&lt;&gt;"Yes","N","Y"))</f>
        <v/>
      </c>
      <c r="K112" s="87"/>
    </row>
    <row r="113" spans="1:11">
      <c r="A113" s="31"/>
      <c r="C113" s="33">
        <v>1.2</v>
      </c>
      <c r="D113" s="195" t="str">
        <f>IF(OR('Asset Info'!B5="Desktop",'Asset Info'!B5="Code based library"),"NA","Others")</f>
        <v>Others</v>
      </c>
      <c r="E113" s="118" t="str">
        <f>IF(D113="NA","No",IF(OR(F111&lt;&gt;"Yes",F112="Yes"),"No","Yes"))</f>
        <v>No</v>
      </c>
      <c r="F113" s="113"/>
      <c r="G113" s="64" t="str">
        <f>IF('Asset Info'!B5="Desktop","Application has no electronic messaging as it is available as Desktop Application.",IF('Asset Info'!B5="Code based library","Application has no electronic messaging as it is available as code based library",""))</f>
        <v/>
      </c>
      <c r="H113" s="120"/>
      <c r="I113" s="116"/>
      <c r="J113" s="208" t="str">
        <f>IF(D109="NA","NA","N")</f>
        <v>N</v>
      </c>
      <c r="K113" s="118" t="str">
        <f>IF(AND($F113="Yes",ISBLANK($H113)),"Please enter your comments","")</f>
        <v/>
      </c>
    </row>
    <row r="114" spans="1:11" ht="36">
      <c r="A114" s="31">
        <v>2</v>
      </c>
      <c r="B114" s="50" t="s">
        <v>147</v>
      </c>
      <c r="C114" s="43">
        <v>1</v>
      </c>
      <c r="D114" s="210" t="s">
        <v>148</v>
      </c>
      <c r="E114" s="212" t="s">
        <v>83</v>
      </c>
      <c r="F114" s="135"/>
      <c r="G114" s="74" t="str">
        <f>IF(ISBLANK(F114),"",IF(F114&lt;&gt;"Yes","Recommend to deploy the application in a binary format or obfuscate the code.",""))</f>
        <v/>
      </c>
      <c r="H114" s="136"/>
      <c r="I114" s="137"/>
      <c r="J114" s="208" t="str">
        <f>IF(ISBLANK(F114),"",IF($F114&lt;&gt;"Yes","N",""))</f>
        <v/>
      </c>
      <c r="K114" s="87"/>
    </row>
    <row r="115" spans="1:11" ht="24">
      <c r="A115" s="31"/>
      <c r="B115" s="122"/>
      <c r="C115" s="43">
        <v>1.1000000000000001</v>
      </c>
      <c r="D115" s="210" t="s">
        <v>149</v>
      </c>
      <c r="E115" s="118" t="str">
        <f>IF(OR(F116="Yes",OR(E114="No",F114&lt;&gt;"Yes")),"No","Yes")</f>
        <v>No</v>
      </c>
      <c r="F115" s="135"/>
      <c r="G115" s="74" t="str">
        <f>IF(ISBLANK(F115),"",IF(F115&lt;&gt;"Yes","Application is deployed in a binary format. However, recommend to restrict the access to authorized users.","Application is deployed in a binary format and the access to it is restricted."))</f>
        <v/>
      </c>
      <c r="H115" s="136"/>
      <c r="I115" s="137"/>
      <c r="J115" s="208" t="str">
        <f>IF(OR(F114&lt;&gt;"Yes",ISBLANK(E115)),"",IF($F115&lt;&gt;"Yes","N","Y"))</f>
        <v/>
      </c>
      <c r="K115" s="87"/>
    </row>
    <row r="116" spans="1:11">
      <c r="A116" s="31"/>
      <c r="C116" s="33">
        <v>1.2</v>
      </c>
      <c r="D116" s="195" t="s">
        <v>46</v>
      </c>
      <c r="E116" s="118" t="str">
        <f>IF(OR(F114&lt;&gt;"Yes",F115="Yes"),"No","Yes")</f>
        <v>No</v>
      </c>
      <c r="F116" s="113"/>
      <c r="G116" s="64"/>
      <c r="H116" s="120"/>
      <c r="I116" s="116"/>
      <c r="J116" s="208" t="s">
        <v>47</v>
      </c>
      <c r="K116" s="118" t="str">
        <f>IF(AND($F116="Yes",ISBLANK($H116)),"Please enter your comments","")</f>
        <v/>
      </c>
    </row>
    <row r="117" spans="1:11" ht="60">
      <c r="A117" s="31">
        <v>3</v>
      </c>
      <c r="B117" s="50" t="s">
        <v>150</v>
      </c>
      <c r="C117" s="43">
        <v>1</v>
      </c>
      <c r="D117" s="210" t="str">
        <f>IF('Asset Info'!B5="Code based library","NA",IF(OR(ISBLANK('Asset Info'!B10),ISBLANK('Asset Info'!B11)),"Is access to data in storage accessible to only authorized users?",IF(AND('Asset Info'!B10&lt;&gt;"Yes",'Asset Info'!B11&lt;&gt;"Yes"),"NA","Is access to data in storage accessible to only authorized users?")))</f>
        <v>Is access to data in storage accessible to only authorized users?</v>
      </c>
      <c r="E117" s="87" t="str">
        <f>IF(D117="NA","No","Yes")</f>
        <v>Yes</v>
      </c>
      <c r="F117" s="113"/>
      <c r="G117" s="64" t="str">
        <f>IF(OR(F117="No",D117="NA"),"The application does not collect any sensitive personal information or business sensitive data.","")</f>
        <v/>
      </c>
      <c r="H117" s="116"/>
      <c r="I117" s="116"/>
      <c r="J117" s="208" t="str">
        <f>IF(F117="Yes","Y",IF(D117="NA","NA","N"))</f>
        <v>N</v>
      </c>
      <c r="K117" s="87"/>
    </row>
    <row r="118" spans="1:11" ht="36">
      <c r="A118" s="119">
        <v>4</v>
      </c>
      <c r="B118" s="51" t="s">
        <v>151</v>
      </c>
      <c r="C118" s="7">
        <v>1</v>
      </c>
      <c r="D118" s="183" t="s">
        <v>152</v>
      </c>
      <c r="E118" s="188" t="str">
        <f>IF(OR('Asset Info'!B5="Desktop",'Asset Info'!B5="Code based library"),"No",IF(ISBLANK(F119),"Yes","No"))</f>
        <v>Yes</v>
      </c>
      <c r="F118" s="112"/>
      <c r="G118" s="65" t="str">
        <f>IF(ISBLANK(F118),"",IF(F118&lt;&gt;"Yes","Recommend to have data transit over secure channels like HTTPS, Secure SMTP and SFTP.","The application communicates over secure channels (HTTPS,Secure SMTP, SFTP)"))</f>
        <v/>
      </c>
      <c r="H118" s="115"/>
      <c r="I118" s="114"/>
      <c r="J118" s="208" t="str">
        <f>IF(F118="Yes","Y","N")</f>
        <v>N</v>
      </c>
      <c r="K118" s="87"/>
    </row>
    <row r="119" spans="1:11">
      <c r="A119" s="119"/>
      <c r="B119" s="52"/>
      <c r="C119" s="11">
        <v>2</v>
      </c>
      <c r="D119" s="187" t="str">
        <f>IF(OR('Asset Info'!B5="Desktop",'Asset Info'!B5="Code based library"),"NA","Others")</f>
        <v>Others</v>
      </c>
      <c r="E119" s="188" t="str">
        <f>IF(D119="NA","No",IF(ISBLANK(F118),"Yes","No"))</f>
        <v>Yes</v>
      </c>
      <c r="F119" s="112"/>
      <c r="G119" s="65" t="str">
        <f>IF('Asset Info'!B5="Desktop","Application has no user authentication and authorization as it is available as Desktop Application.",IF('Asset Info'!B5="Code based library","Application is available as code based library and data transit is not applicable",""))</f>
        <v/>
      </c>
      <c r="H119" s="120"/>
      <c r="I119" s="116"/>
      <c r="J119" s="208" t="str">
        <f>IF(D119="NA","NA","N")</f>
        <v>N</v>
      </c>
      <c r="K119" s="118" t="str">
        <f>IF(AND($F119="Yes",ISBLANK($H119)),"Please enter your comments","")</f>
        <v/>
      </c>
    </row>
    <row r="120" spans="1:11" ht="36">
      <c r="A120" s="31">
        <v>5</v>
      </c>
      <c r="B120" s="51" t="s">
        <v>153</v>
      </c>
      <c r="C120" s="7">
        <v>1</v>
      </c>
      <c r="D120" s="183" t="s">
        <v>154</v>
      </c>
      <c r="E120" s="188" t="str">
        <f>IF(OR(F117="No",D117="NA"),"No","Yes")</f>
        <v>Yes</v>
      </c>
      <c r="F120" s="112"/>
      <c r="G120" s="65" t="str">
        <f>IF(ISBLANK(F120),"",IF(F120&lt;&gt;"Yes","Recommend to encrypt the data in storage using strong encryption algorithms like AES 256 with GCM encryption mode.","Data in storage is secured by encrypting the data"))</f>
        <v/>
      </c>
      <c r="H120" s="115"/>
      <c r="I120" s="114"/>
      <c r="J120" s="208" t="str">
        <f>IF(F117="No","Y",IF(AND(E120="Yes",F120="Yes"),"Y","N"))</f>
        <v>N</v>
      </c>
      <c r="K120" s="87"/>
    </row>
    <row r="121" spans="1:11" ht="37.5" customHeight="1">
      <c r="A121" s="31"/>
      <c r="B121" s="52"/>
      <c r="C121" s="7">
        <v>2</v>
      </c>
      <c r="D121" s="183" t="str">
        <f>IF(D117="NA","NA","Others")</f>
        <v>Others</v>
      </c>
      <c r="E121" s="188" t="str">
        <f>IF(D121="NA","no",IF(ISBLANK(F120),"Yes","No"))</f>
        <v>Yes</v>
      </c>
      <c r="F121" s="129"/>
      <c r="G121" s="65" t="str">
        <f>IF(OR(F117="No",D117="NA"),"The application does not collect any sensitive personal information or business sensitive data.","")</f>
        <v/>
      </c>
      <c r="H121" s="141"/>
      <c r="I121" s="114"/>
      <c r="J121" s="208" t="str">
        <f>IF(F117="No","Y",IF(D121="NA","NA","N"))</f>
        <v>N</v>
      </c>
      <c r="K121" s="87"/>
    </row>
    <row r="122" spans="1:11" ht="36">
      <c r="A122" s="31">
        <v>6</v>
      </c>
      <c r="B122" s="50" t="s">
        <v>155</v>
      </c>
      <c r="C122" s="43">
        <v>1</v>
      </c>
      <c r="D122" s="210" t="s">
        <v>156</v>
      </c>
      <c r="E122" s="212" t="str">
        <f>IF(OR(F117="No",D117="NA"),"No","Yes")</f>
        <v>Yes</v>
      </c>
      <c r="F122" s="135"/>
      <c r="G122" s="74" t="str">
        <f>IF(ISBLANK(F122),"",IF(F122&lt;&gt;"Yes","Recommend to securely store the keys using Keystore or vault.",""))</f>
        <v/>
      </c>
      <c r="H122" s="136"/>
      <c r="I122" s="137"/>
      <c r="J122" s="208" t="str">
        <f>IF(ISBLANK(F122),"",IF($F122&lt;&gt;"Yes","N",""))</f>
        <v/>
      </c>
      <c r="K122" s="87"/>
    </row>
    <row r="123" spans="1:11">
      <c r="A123" s="31"/>
      <c r="B123" s="122"/>
      <c r="C123" s="43">
        <v>1.1000000000000001</v>
      </c>
      <c r="D123" s="210" t="s">
        <v>157</v>
      </c>
      <c r="E123" s="118" t="str">
        <f>IF(OR(F124="Yes",OR(E122="No",F122&lt;&gt;"Yes")),"No","Yes")</f>
        <v>No</v>
      </c>
      <c r="F123" s="135"/>
      <c r="G123" s="74" t="str">
        <f>IF(ISBLANK(F123),"",IF(AND('Asset Info'!B9="Intranet",F123&lt;&gt;"Yes"),"Keys are stored securely in a keystore or vault. However, recommend to rotate the Keys peridocially.Approved as its intranet facing application",IF(AND('Asset Info'!B9="Internet",F123&lt;&gt;"Yes"),"Keys are stored securely in a keystore or vault. However, recommend to rotate the Keys peridocially","Keys are stored securely in a keystore or vault. Keys are rotated peridocially.")))</f>
        <v/>
      </c>
      <c r="H123" s="136"/>
      <c r="I123" s="137"/>
      <c r="J123" s="208" t="str">
        <f>IF(OR(F122&lt;&gt;"Yes",ISBLANK(F123)),"",IF(AND('Asset Info'!B9="Intranet",F123&lt;&gt;"Yes"),"Y",IF($F123="Yes","Y",IF(OR('Asset Info'!B10="Yes",'Asset Info'!B11="Yes"),"N",""))))</f>
        <v/>
      </c>
      <c r="K123" s="87"/>
    </row>
    <row r="124" spans="1:11">
      <c r="A124" s="119"/>
      <c r="C124" s="33">
        <v>1.2</v>
      </c>
      <c r="D124" s="195" t="str">
        <f>IF(D117="NA","NA","Others")</f>
        <v>Others</v>
      </c>
      <c r="E124" s="118" t="str">
        <f>IF(D124="NA","No",IF(OR(F122&lt;&gt;"Yes",NOT(ISBLANK(F123))),"No","Yes"))</f>
        <v>No</v>
      </c>
      <c r="F124" s="113"/>
      <c r="G124" s="64" t="str">
        <f>IF(OR(F117="No",D117="NA"),"The application does not collect any sensitive personal information or business sensitive data.","")</f>
        <v/>
      </c>
      <c r="H124" s="120"/>
      <c r="I124" s="116"/>
      <c r="J124" s="208" t="str">
        <f>IF(D124="NA","NA","N")</f>
        <v>N</v>
      </c>
      <c r="K124" s="118" t="str">
        <f>IF(AND($F124="Yes",ISBLANK($H124)),"Please enter your comments","")</f>
        <v/>
      </c>
    </row>
    <row r="125" spans="1:11" ht="48">
      <c r="A125" s="31">
        <v>7</v>
      </c>
      <c r="B125" s="53" t="s">
        <v>158</v>
      </c>
      <c r="C125" s="43">
        <v>1</v>
      </c>
      <c r="D125" s="210" t="s">
        <v>159</v>
      </c>
      <c r="E125" s="188" t="str">
        <f>IF(OR('Asset Info'!B5="Desktop",'Asset Info'!B5="Code based library"),"No",IF(ISBLANK(F126),"Yes","No"))</f>
        <v>Yes</v>
      </c>
      <c r="F125" s="135"/>
      <c r="G125" s="74" t="str">
        <f>IF(AND(AND('Asset Info'!B10&lt;&gt;"Yes",'Asset Info'!B11&lt;&gt;"Yes"),F125="Yes"),IF('Asset Info'!B5="APIs Only","Application handles exception properly without revealing server information",""),IF(AND(AND('Asset Info'!B10&lt;&gt;"Yes",'Asset Info'!B11&lt;&gt;"Yes"),F125="No"),"Recommend to handle exceptions properly by not revealing server information",""))</f>
        <v/>
      </c>
      <c r="H125" s="136"/>
      <c r="I125" s="137"/>
      <c r="J125" s="208" t="str">
        <f>IF(AND(AND(F7="Yes",F17="Yes"),F125="Yes"),"Y",IF(AND(AND('Asset Info'!B10&lt;&gt;"Yes",'Asset Info'!B11&lt;&gt;"Yes"),F125="Yes"),"Y","N"))</f>
        <v>N</v>
      </c>
      <c r="K125" s="87"/>
    </row>
    <row r="126" spans="1:11">
      <c r="A126" s="31"/>
      <c r="B126" s="45"/>
      <c r="C126" s="11">
        <v>2</v>
      </c>
      <c r="D126" s="187" t="str">
        <f>IF(OR('Asset Info'!B5="Desktop",'Asset Info'!B5="Code based library"),"NA","Others")</f>
        <v>Others</v>
      </c>
      <c r="E126" s="188" t="str">
        <f>IF(D126="Na","No",IF(ISBLANK(F125),"Yes","No"))</f>
        <v>Yes</v>
      </c>
      <c r="F126" s="112"/>
      <c r="G126" s="65" t="str">
        <f>IF('Asset Info'!B5="Desktop","Application is available as Desktop Application and sensitive data disclosure is not applicable.",IF('Asset Info'!B5="Code based library","Application is available as code based library and sensitive data disclosue is not applicable",""))</f>
        <v/>
      </c>
      <c r="H126" s="120"/>
      <c r="I126" s="116"/>
      <c r="J126" s="208" t="str">
        <f>IF(D126="NA","NA","N")</f>
        <v>N</v>
      </c>
      <c r="K126" s="118" t="str">
        <f>IF(AND($F126="Yes",ISBLANK($H126)),"Please enter your comments","")</f>
        <v/>
      </c>
    </row>
    <row r="127" spans="1:11" ht="67.5" customHeight="1">
      <c r="A127" s="31"/>
      <c r="B127" s="45"/>
      <c r="C127" s="31">
        <v>1.1000000000000001</v>
      </c>
      <c r="D127" s="212" t="str">
        <f>IF(F117="Yes","Does application display sensitive data like personal identifiable information, health data and so on with proper authorization?",IF(OR(NOT(ISBLANK(F117)),D117="NA"),"No sensitive data is being collected.","Does application display sensitive data like personal identifiable information, health data and so on with proper authorization?"))</f>
        <v>Does application display sensitive data like personal identifiable information, health data and so on with proper authorization?</v>
      </c>
      <c r="E127" s="212" t="str">
        <f>IF(AND('Asset Info'!B5="Desktop",F7="Yes"),"No",IF(AND('Asset Info'!B10&lt;&gt;"Yes",'Asset Info'!B11&lt;&gt;"Yes"),"No",IF(OR(F117="Yes",F125="Yes"),"Yes","No")))</f>
        <v>No</v>
      </c>
      <c r="F127" s="132"/>
      <c r="G127" s="72" t="str">
        <f>IF(OR(F117="No",F117="NA"),"Application handles exceptions properly without displaying the server information or stack trace.",IF(ISBLANK(F127),"",IF(F127&lt;&gt;"Yes","Application handles exceptions properly without displaying the server information or stack trace. However, recommended to log or display sensitive data on the console like credentials or PII or health data and so on with proper authorization.","Application handles exceptions properly without displaying the server information or stack trace and application does not log or display sensitive data on the console like PII or health data and so on without proper authorization.")))</f>
        <v/>
      </c>
      <c r="H127" s="137"/>
      <c r="I127" s="137"/>
      <c r="J127" s="208" t="str">
        <f>IF(AND(E127="Yes",OR(F117="No",F117="NA")),"Y",IF(F127="Yes","Y","N"))</f>
        <v>N</v>
      </c>
      <c r="K127" s="87"/>
    </row>
    <row r="128" spans="1:11" ht="15.75" customHeight="1">
      <c r="A128" s="242" t="s">
        <v>160</v>
      </c>
      <c r="B128" s="242"/>
      <c r="C128" s="242"/>
      <c r="D128" s="242"/>
      <c r="E128" s="242"/>
      <c r="F128" s="242"/>
      <c r="G128" s="242"/>
      <c r="H128" s="242"/>
      <c r="I128" s="242"/>
      <c r="J128" s="243"/>
      <c r="K128" s="87"/>
    </row>
    <row r="129" spans="1:11" ht="24">
      <c r="A129" s="31">
        <v>1</v>
      </c>
      <c r="B129" s="42" t="s">
        <v>161</v>
      </c>
      <c r="C129" s="43">
        <v>1</v>
      </c>
      <c r="D129" s="210" t="str">
        <f>IF(OR('Asset Info'!B5="Desktop",'Asset Info'!B5="Code based library"),"NA","Does the application has audit logging enabled?")</f>
        <v>Does the application has audit logging enabled?</v>
      </c>
      <c r="E129" s="87" t="str">
        <f>IF(D129="NA","No","Yes")</f>
        <v>Yes</v>
      </c>
      <c r="F129" s="113"/>
      <c r="G129" s="64" t="str">
        <f>IF('Asset Info'!B5="Desktop","Application is a Desktop application and audit logging is not applicable",IF('Asset Info'!B5="Code based library","Application is a code based library and audit logging is not applicable",IF(ISBLANK(F129),"",IF(F129&lt;&gt;"Yes","Recommend to have audit logging enabled in the application by using standard logging libraries.","Application has audit logging enabled."))))</f>
        <v/>
      </c>
      <c r="H129" s="114"/>
      <c r="I129" s="114"/>
      <c r="J129" s="208" t="str">
        <f>IF(D129="NA","NA",IF(F129="Yes","Y",IF(ISBLANK(F129),"",IF(OR('Asset Info'!B9="Internet",OR('Asset Info'!B10="Yes",'Asset Info'!B11="Yes")),"N","Y"))))</f>
        <v/>
      </c>
      <c r="K129" s="87"/>
    </row>
    <row r="130" spans="1:11" ht="24">
      <c r="A130" s="31">
        <v>2</v>
      </c>
      <c r="B130" s="54" t="s">
        <v>162</v>
      </c>
      <c r="C130" s="43">
        <v>1</v>
      </c>
      <c r="D130" s="210" t="s">
        <v>163</v>
      </c>
      <c r="E130" s="188" t="str">
        <f>IF(OR('Asset Info'!B5="Desktop",'Asset Info'!B5="Code based library"),"No",IF(ISBLANK(F131),"Yes","No"))</f>
        <v>Yes</v>
      </c>
      <c r="F130" s="113"/>
      <c r="G130" s="64"/>
      <c r="H130" s="116"/>
      <c r="I130" s="116"/>
      <c r="J130" s="208"/>
      <c r="K130" s="87"/>
    </row>
    <row r="131" spans="1:11">
      <c r="A131" s="31"/>
      <c r="B131" s="46"/>
      <c r="C131" s="11">
        <v>2</v>
      </c>
      <c r="D131" s="187" t="str">
        <f>IF(OR('Asset Info'!B5="Desktop",'Asset Info'!B5="Code based library"),"NA","Others")</f>
        <v>Others</v>
      </c>
      <c r="E131" s="188" t="str">
        <f>IF(D131="NA","No",IF(ISBLANK(F130),"Yes","No"))</f>
        <v>Yes</v>
      </c>
      <c r="F131" s="112"/>
      <c r="G131" s="65" t="str">
        <f>IF('Asset Info'!B5="Desktop","Application is a Desktop application and log monitoring is not applicable",IF('Asset Info'!B5="Code based library","Application is a code based library and log monitoring is not applicable",""))</f>
        <v/>
      </c>
      <c r="H131" s="120"/>
      <c r="I131" s="116"/>
      <c r="J131" s="208" t="str">
        <f>IF(D131="NA","NA","N")</f>
        <v>N</v>
      </c>
      <c r="K131" s="118" t="str">
        <f>IF(AND($F131="Yes",ISBLANK($H131)),"Please enter your comments","")</f>
        <v/>
      </c>
    </row>
    <row r="132" spans="1:11">
      <c r="A132" s="31"/>
      <c r="B132" s="45"/>
      <c r="C132" s="8">
        <v>1.1000000000000001</v>
      </c>
      <c r="D132" s="186" t="s">
        <v>164</v>
      </c>
      <c r="E132" s="87" t="str">
        <f>IF(OR(COUNTIF(F133:F134,"Yes")&gt;0,F130&lt;&gt;"Yes"),"No","Yes")</f>
        <v>No</v>
      </c>
      <c r="F132" s="129"/>
      <c r="G132" s="64" t="str">
        <f>IF(ISBLANK(F132),"",IF(F132="Yes","Log monitoring is done manually. Recommend to go for automatic analysis by integrating with SIEM tools.",""))</f>
        <v/>
      </c>
      <c r="H132" s="116"/>
      <c r="I132" s="116"/>
      <c r="J132" s="208" t="str">
        <f>IF(OR(AND('Asset Info'!B9="Intranet",F132="Yes"),AND('Asset Info'!B6="Customer",F132="Yes")),"Y","")</f>
        <v/>
      </c>
      <c r="K132" s="87"/>
    </row>
    <row r="133" spans="1:11" ht="36">
      <c r="A133" s="119"/>
      <c r="B133" s="142"/>
      <c r="C133" s="11">
        <v>1.2</v>
      </c>
      <c r="D133" s="187" t="s">
        <v>165</v>
      </c>
      <c r="E133" s="87" t="str">
        <f>IF(OR(OR(F132="Yes",F134="Yes"),F130&lt;&gt;"Yes"),"No","Yes")</f>
        <v>No</v>
      </c>
      <c r="F133" s="129"/>
      <c r="G133" s="65" t="str">
        <f>IF(ISBLANK(F133),"",IF(F133="Yes","Log monitoring is done using automated tools.",""))</f>
        <v/>
      </c>
      <c r="H133" s="120"/>
      <c r="I133" s="116"/>
      <c r="J133" s="208" t="str">
        <f t="shared" ref="J133" si="5">IF(F133="Yes","Y","N")</f>
        <v>N</v>
      </c>
      <c r="K133" s="87"/>
    </row>
    <row r="134" spans="1:11">
      <c r="A134" s="31"/>
      <c r="B134" s="122"/>
      <c r="C134" s="8">
        <v>1.3</v>
      </c>
      <c r="D134" s="186" t="s">
        <v>46</v>
      </c>
      <c r="E134" s="87" t="str">
        <f>IF(OR(COUNTIF(F132:F133,"Yes")&gt;0,F130&lt;&gt;"Yes"),"No","Yes")</f>
        <v>No</v>
      </c>
      <c r="F134" s="113"/>
      <c r="G134" s="64"/>
      <c r="H134" s="116"/>
      <c r="I134" s="116"/>
      <c r="J134" s="208" t="s">
        <v>47</v>
      </c>
      <c r="K134" s="118" t="str">
        <f>IF(AND(E134="Yes",AND($F134="Yes",ISBLANK($H134))),"Please enter your comments","")</f>
        <v/>
      </c>
    </row>
    <row r="135" spans="1:11" ht="24">
      <c r="A135" s="31">
        <v>3</v>
      </c>
      <c r="B135" s="57" t="s">
        <v>166</v>
      </c>
      <c r="C135" s="7">
        <v>1</v>
      </c>
      <c r="D135" s="183" t="s">
        <v>167</v>
      </c>
      <c r="E135" s="188" t="str">
        <f>IF(OR('Asset Info'!B5="Desktop",'Asset Info'!B5="Code based library"),"No",IF(ISBLANK(F136),"Yes","No"))</f>
        <v>Yes</v>
      </c>
      <c r="F135" s="112"/>
      <c r="G135" s="65" t="str">
        <f>IF(F135="No","Recommend to protect the logs from unauthorized access","")</f>
        <v/>
      </c>
      <c r="H135" s="114"/>
      <c r="I135" s="114"/>
      <c r="J135" s="208"/>
      <c r="K135" s="87"/>
    </row>
    <row r="136" spans="1:11">
      <c r="A136" s="107"/>
      <c r="B136" s="56"/>
      <c r="C136" s="43">
        <v>2</v>
      </c>
      <c r="D136" s="210" t="str">
        <f>IF(OR('Asset Info'!B5="Desktop",'Asset Info'!B5="Code based library"),"NA","Others")</f>
        <v>Others</v>
      </c>
      <c r="E136" s="232" t="str">
        <f>IF(D136="NA","No",IF(ISBLANK(F135),"Yes","No"))</f>
        <v>Yes</v>
      </c>
      <c r="F136" s="233"/>
      <c r="G136" s="234" t="str">
        <f>IF('Asset Info'!B5="Desktop","Application is a Desktop application and protection of log information is not applicable",IF('Asset Info'!B5="Code based library","Application is code based library and protection of log information is not applicable",""))</f>
        <v/>
      </c>
      <c r="H136" s="140"/>
      <c r="I136" s="116"/>
      <c r="J136" s="208" t="str">
        <f>IF(D136="NA","NA","N")</f>
        <v>N</v>
      </c>
      <c r="K136" s="118" t="str">
        <f>IF(AND($F136="Yes",ISBLANK($H136)),"Please enter your comments","")</f>
        <v/>
      </c>
    </row>
    <row r="137" spans="1:11" ht="24">
      <c r="A137" s="107"/>
      <c r="B137" s="56"/>
      <c r="C137" s="43">
        <v>1.1000000000000001</v>
      </c>
      <c r="D137" s="210" t="s">
        <v>168</v>
      </c>
      <c r="E137" s="232" t="str">
        <f>IF(F135="Yes","Yes","No")</f>
        <v>No</v>
      </c>
      <c r="F137" s="233"/>
      <c r="G137" s="234" t="str">
        <f>IF(ISBLANK(F137),"",IF(F137&lt;&gt;"Yes","Recommend to store application logs on a separate disk. And protect the logs from unauthorized access.","Logs are maintained on a separate server or storage and prevented from unauthorized access."))</f>
        <v/>
      </c>
      <c r="H137" s="140"/>
      <c r="I137" s="116"/>
      <c r="J137" s="208" t="str">
        <f>IF(AND(F135="Yes",F137="Yes"),"Y",IF(AND('Asset Info'!B9="Intranet",F137="No"),"Y","N"))</f>
        <v>N</v>
      </c>
      <c r="K137" s="118"/>
    </row>
    <row r="138" spans="1:11" ht="48">
      <c r="A138" s="31">
        <v>4</v>
      </c>
      <c r="B138" s="237" t="s">
        <v>169</v>
      </c>
      <c r="C138" s="238">
        <v>1</v>
      </c>
      <c r="D138" s="239" t="s">
        <v>170</v>
      </c>
      <c r="E138" s="194" t="str">
        <f>IF(OR('Asset Info'!B5="Desktop",'Asset Info'!B5="Code based library"),"No",IF(F79="Yes","No",IF(ISBLANK(F139),"Yes","No")))</f>
        <v>Yes</v>
      </c>
      <c r="F138" s="240"/>
      <c r="G138" s="67" t="str">
        <f>IF(ISBLANK(F138),"",IF(F138&lt;&gt;"Yes","Recommend to maintain separate logs for administartive actions and opeartor actions.","Administrator and operator logs are maintained separately."))</f>
        <v/>
      </c>
      <c r="H138" s="114"/>
      <c r="I138" s="114"/>
      <c r="J138" s="208" t="str">
        <f>IF(AND('Asset Info'!B9="Intranet",NOT(ISBLANK(F138))),"Y",IF(F79="Yes","Y",IF(F138="Yes","Y","N")))</f>
        <v>N</v>
      </c>
      <c r="K138" s="87"/>
    </row>
    <row r="139" spans="1:11">
      <c r="A139" s="107"/>
      <c r="B139" s="36"/>
      <c r="C139" s="11">
        <v>2</v>
      </c>
      <c r="D139" s="187" t="str">
        <f>IF(OR(OR('Asset Info'!B5="Desktop",'Asset Info'!B5="Code based library"),F79="Yes"),"NA","Others")</f>
        <v>Others</v>
      </c>
      <c r="E139" s="188" t="str">
        <f>IF(F79="Yes","No",IF(D139="NA","No",IF(ISBLANK(F138),"Yes","No")))</f>
        <v>Yes</v>
      </c>
      <c r="F139" s="112"/>
      <c r="G139" s="65" t="str">
        <f>IF('Asset Info'!B5="Desktop","Application is a Desktop application and administrator and operator logging is not applicable",IF('Asset Info'!B5="Code based library","Application is code based library and administrator and operator logging is not applicable",IF(F79="Yes","Application is single role based and administrator logging is not applicable,","")))</f>
        <v/>
      </c>
      <c r="H139" s="120"/>
      <c r="I139" s="116"/>
      <c r="J139" s="208" t="str">
        <f>IF(D139="NA","NA","N")</f>
        <v>N</v>
      </c>
      <c r="K139" s="118" t="str">
        <f>IF(AND($F139="Yes",ISBLANK($H139)),"Please enter your comments","")</f>
        <v/>
      </c>
    </row>
    <row r="140" spans="1:11" ht="39" customHeight="1">
      <c r="A140" s="31">
        <v>5</v>
      </c>
      <c r="B140" s="54" t="s">
        <v>171</v>
      </c>
      <c r="C140" s="43">
        <v>1</v>
      </c>
      <c r="D140" s="210" t="s">
        <v>172</v>
      </c>
      <c r="E140" s="87" t="s">
        <v>83</v>
      </c>
      <c r="F140" s="113"/>
      <c r="G140" s="64" t="str">
        <f>IF(OR(F140="No",F140="NA"),"Application is not logging all errors. Recommend to have all the errors logged and ensure that no sensitive data is being logged.","")</f>
        <v/>
      </c>
      <c r="H140" s="116"/>
      <c r="I140" s="116"/>
      <c r="J140" s="208" t="str">
        <f>IF(OR(F140="No",F140="NA"),"N","")</f>
        <v/>
      </c>
      <c r="K140" s="87"/>
    </row>
    <row r="141" spans="1:11" ht="36">
      <c r="A141" s="31"/>
      <c r="B141" s="122"/>
      <c r="C141" s="43">
        <v>1.1000000000000001</v>
      </c>
      <c r="D141" s="211" t="s">
        <v>173</v>
      </c>
      <c r="E141" s="212" t="str">
        <f>IF(AND(F142&lt;&gt;"Yes",F140="Yes"),"Yes","No")</f>
        <v>No</v>
      </c>
      <c r="F141" s="132"/>
      <c r="G141" s="73" t="str">
        <f>IF(ISBLANK(F141),"",IF(F141&lt;&gt;"Yes","Application logs all the errors. No sensitive data is logged in the logger.",""))</f>
        <v/>
      </c>
      <c r="H141" s="133"/>
      <c r="I141" s="133"/>
      <c r="J141" s="208" t="str">
        <f>IF(AND(F140="Yes",OR(F141="No",F141="NA")),"Y","")</f>
        <v/>
      </c>
      <c r="K141" s="87"/>
    </row>
    <row r="142" spans="1:11">
      <c r="A142" s="119"/>
      <c r="B142" s="121"/>
      <c r="C142" s="8">
        <v>1.2</v>
      </c>
      <c r="D142" s="186" t="s">
        <v>46</v>
      </c>
      <c r="E142" s="188" t="str">
        <f>IF(AND(ISBLANK(F141),F140="Yes"),"Yes","No")</f>
        <v>No</v>
      </c>
      <c r="F142" s="113"/>
      <c r="G142" s="64"/>
      <c r="H142" s="116"/>
      <c r="I142" s="116"/>
      <c r="J142" s="208" t="s">
        <v>47</v>
      </c>
      <c r="K142" s="118" t="str">
        <f>IF(AND(E142="Yes",AND($F142="Yes",ISBLANK($H142))),"Please enter your comments","")</f>
        <v/>
      </c>
    </row>
    <row r="143" spans="1:11" ht="41.25" customHeight="1">
      <c r="A143" s="119"/>
      <c r="B143" s="121"/>
      <c r="C143" s="7" t="s">
        <v>68</v>
      </c>
      <c r="D143" s="183" t="s">
        <v>174</v>
      </c>
      <c r="E143" s="213" t="str">
        <f>IF(AND(F140="Yes",F141="Yes"),"Yes","No")</f>
        <v>No</v>
      </c>
      <c r="F143" s="143"/>
      <c r="G143" s="73" t="str">
        <f>IF(ISBLANK(F143),"",IF(F143&lt;&gt;"Yes","Application logs all the errors. Sensitive data is logged in clear text format. Recommend to encrypt the sensitive information while logging.","Application logs all the errors. Sensitive data is logged in the encrypted format."))</f>
        <v/>
      </c>
      <c r="H143" s="144"/>
      <c r="I143" s="133"/>
      <c r="J143" s="208" t="str">
        <f>IF(AND(E143="Yes",F143="Yes"),"Y","N")</f>
        <v>N</v>
      </c>
      <c r="K143" s="87"/>
    </row>
    <row r="144" spans="1:11" ht="24">
      <c r="A144" s="31">
        <v>6</v>
      </c>
      <c r="B144" s="55" t="s">
        <v>175</v>
      </c>
      <c r="C144" s="43">
        <v>1</v>
      </c>
      <c r="D144" s="210" t="s">
        <v>176</v>
      </c>
      <c r="E144" s="188" t="str">
        <f>IF(OR('Asset Info'!B5="Desktop",'Asset Info'!B5="Code based library"),"No",IF(ISBLANK(F145),"Yes","No"))</f>
        <v>Yes</v>
      </c>
      <c r="F144" s="135"/>
      <c r="G144" s="74" t="str">
        <f>IF(ISBLANK(F144),"",IF(F144&lt;&gt;"Yes","Audit trails are not enabled. Recommend to enable audit trails for critical transactions in the application and also have proper backup mechanisms for the audit trail files.",""))</f>
        <v/>
      </c>
      <c r="H144" s="136"/>
      <c r="I144" s="137"/>
      <c r="J144" s="208" t="str">
        <f>IF(ISBLANK(F144),"",IF($F144="Yes","N",IF(AND('Asset Info'!B10&lt;&gt;"Yes",'Asset Info'!B11&lt;&gt;"Yes"),"Y","")))</f>
        <v/>
      </c>
      <c r="K144" s="87"/>
    </row>
    <row r="145" spans="1:11">
      <c r="A145" s="31"/>
      <c r="B145" s="46"/>
      <c r="C145" s="11">
        <v>2</v>
      </c>
      <c r="D145" s="187" t="str">
        <f>IF(OR('Asset Info'!B5="Desktop",'Asset Info'!B5="Code based library"),"NA","Others")</f>
        <v>Others</v>
      </c>
      <c r="E145" s="188" t="str">
        <f>IF(D145="NA","No",IF(ISBLANK(F144),"Yes","No"))</f>
        <v>Yes</v>
      </c>
      <c r="F145" s="112"/>
      <c r="G145" s="65" t="str">
        <f>IF('Asset Info'!B5="Desktop","Application is a Desktop application and audit logging and storage is not applicable",IF('Asset Info'!B5="Code based library","Application is code based library and audit logging and storage is not applicable",""))</f>
        <v/>
      </c>
      <c r="H145" s="120"/>
      <c r="I145" s="116"/>
      <c r="J145" s="208" t="str">
        <f>IF(D145="NA","NA","N")</f>
        <v>N</v>
      </c>
      <c r="K145" s="118" t="str">
        <f>IF(AND($F145="Yes",ISBLANK($H145)),"Please enter your comments","")</f>
        <v/>
      </c>
    </row>
    <row r="146" spans="1:11" ht="24">
      <c r="A146" s="31"/>
      <c r="B146" s="122"/>
      <c r="C146" s="43">
        <v>1.1000000000000001</v>
      </c>
      <c r="D146" s="214" t="s">
        <v>177</v>
      </c>
      <c r="E146" s="213" t="str">
        <f>IF(AND(F147&lt;&gt;"Yes",F144="Yes"),"Yes","No")</f>
        <v>No</v>
      </c>
      <c r="F146" s="138"/>
      <c r="G146" s="74" t="str">
        <f>IF(ISBLANK(F146),"",IF(F146&lt;&gt;"Yes","Audit trails are enabled. Recommend to have proper back up of the files on a different server or storage location periodically.","Audit trails for critical events are enabled. Periodic back up of the files is maintained and stored on a different server or storage location."))</f>
        <v/>
      </c>
      <c r="H146" s="136"/>
      <c r="I146" s="137"/>
      <c r="J146" s="208" t="str">
        <f>IF(OR(F144&lt;&gt;"Yes",ISBLANK(E146)),"",IF($F146&lt;&gt;"Yes","N","Y"))</f>
        <v/>
      </c>
      <c r="K146" s="87"/>
    </row>
    <row r="147" spans="1:11">
      <c r="A147" s="31"/>
      <c r="C147" s="8">
        <v>1.2</v>
      </c>
      <c r="D147" s="184" t="s">
        <v>46</v>
      </c>
      <c r="E147" s="87" t="str">
        <f>IF(AND(ISBLANK(F146),F144="Yes"),"Yes","No")</f>
        <v>No</v>
      </c>
      <c r="F147" s="106"/>
      <c r="G147" s="64"/>
      <c r="H147" s="116"/>
      <c r="I147" s="116"/>
      <c r="J147" s="208" t="s">
        <v>47</v>
      </c>
      <c r="K147" s="118" t="str">
        <f>IF(AND(E147="Yes",AND($F147="Yes",ISBLANK($H147))),"Please enter your comments","")</f>
        <v/>
      </c>
    </row>
    <row r="148" spans="1:11" ht="48">
      <c r="A148" s="31">
        <v>7</v>
      </c>
      <c r="B148" s="42" t="s">
        <v>178</v>
      </c>
      <c r="C148" s="43">
        <v>1</v>
      </c>
      <c r="D148" s="210" t="s">
        <v>179</v>
      </c>
      <c r="E148" s="188" t="str">
        <f>IF(OR('Asset Info'!B5="Desktop",'Asset Info'!B5="Code based library"),"No",IF(ISBLANK(F149),"Yes","No"))</f>
        <v>Yes</v>
      </c>
      <c r="F148" s="113"/>
      <c r="G148" s="64" t="str">
        <f>IF(ISBLANK(F148),"",IF(F148&lt;&gt;"Yes","Application do not capture the information in a parsable format. Recommend to capture  time of event, source of event, IP addresses, and user details while logging.","Application logs the information in a parsable format by capturing time of event, source of event, IP addresses, and user details"))</f>
        <v/>
      </c>
      <c r="H148" s="114"/>
      <c r="I148" s="114"/>
      <c r="J148" s="208" t="str">
        <f>IF(F148="Yes","Y",IF(AND(NOT(ISBLANK(F148)),AND('Asset Info'!B10&lt;&gt;"Yes",'Asset Info'!B11&lt;&gt;"Yes")),"Y","N"))</f>
        <v>N</v>
      </c>
      <c r="K148" s="87"/>
    </row>
    <row r="149" spans="1:11">
      <c r="A149" s="31"/>
      <c r="B149" s="44"/>
      <c r="C149" s="11">
        <v>2</v>
      </c>
      <c r="D149" s="187" t="str">
        <f>IF(OR('Asset Info'!B5="Desktop",'Asset Info'!B5="Code based library"),"NA","Others")</f>
        <v>Others</v>
      </c>
      <c r="E149" s="188" t="str">
        <f>IF(D149="NA","No",IF(ISBLANK(F148),"Yes","No"))</f>
        <v>Yes</v>
      </c>
      <c r="F149" s="112"/>
      <c r="G149" s="65" t="str">
        <f>IF('Asset Info'!B5="Desktop","Application is a Desktop application and traceability of critical events is not applicable",IF('Asset Info'!B5="Code based library","Application is code based library and traceability of critical evenets is not applicable",""))</f>
        <v/>
      </c>
      <c r="H149" s="120"/>
      <c r="I149" s="116"/>
      <c r="J149" s="208" t="str">
        <f>IF(D149="NA","NA","N")</f>
        <v>N</v>
      </c>
      <c r="K149" s="118" t="str">
        <f>IF(AND($F149="Yes",ISBLANK($H149)),"Please enter your comments","")</f>
        <v/>
      </c>
    </row>
    <row r="150" spans="1:11" ht="36">
      <c r="A150" s="31">
        <v>8</v>
      </c>
      <c r="B150" s="42" t="s">
        <v>180</v>
      </c>
      <c r="C150" s="43">
        <v>1</v>
      </c>
      <c r="D150" s="210" t="str">
        <f>IF(OR('Asset Info'!B5="Desktop",'Asset Info'!B5="Code based library"),"Does the application log time of the action and details while logging?","Does the application capture time of the event, source of the event and user details while logging?")</f>
        <v>Does the application capture time of the event, source of the event and user details while logging?</v>
      </c>
      <c r="E150" s="188" t="str">
        <f>IF(ISBLANK(F151),"Yes","No")</f>
        <v>Yes</v>
      </c>
      <c r="F150" s="113"/>
      <c r="G150" s="64" t="str">
        <f>IF(ISBLANK(F150),"",IF(OR('Asset Info'!B5="Desktop",'Asset Info'!B5="Code based library"),IF(F150&lt;&gt;"Yes","Application do not capture the information in a parsable format. Recommend to capture timestamp of the action and its details while logging","Application logs the information in a parsable format by capturing timetsmap of the action and its details while logging"),IF(F150&lt;&gt;"Yes","Application do not capture the information in a parsable format. Recommend to capture  time of event, source of event, IP addresses, and user details while logging.","Application logs the information in a parsable format by capturing time of event, source of event, IP addresses, and user details")))</f>
        <v/>
      </c>
      <c r="H150" s="114"/>
      <c r="I150" s="114"/>
      <c r="J150" s="208" t="str">
        <f>IF(F150="Yes","Y","N")</f>
        <v>N</v>
      </c>
      <c r="K150" s="87"/>
    </row>
    <row r="151" spans="1:11">
      <c r="A151" s="31"/>
      <c r="B151" s="44"/>
      <c r="C151" s="11">
        <v>2</v>
      </c>
      <c r="D151" s="187" t="s">
        <v>46</v>
      </c>
      <c r="E151" s="188" t="str">
        <f>IF(ISBLANK(F150),"Yes","No")</f>
        <v>Yes</v>
      </c>
      <c r="F151" s="112"/>
      <c r="G151" s="65"/>
      <c r="H151" s="120"/>
      <c r="I151" s="116"/>
      <c r="J151" s="208" t="s">
        <v>47</v>
      </c>
      <c r="K151" s="118" t="str">
        <f>IF(AND($F151="Yes",ISBLANK($H151)),"Please enter your comments","")</f>
        <v/>
      </c>
    </row>
    <row r="152" spans="1:11" ht="36">
      <c r="A152" s="31">
        <v>9</v>
      </c>
      <c r="B152" s="42" t="s">
        <v>181</v>
      </c>
      <c r="C152" s="43">
        <v>1</v>
      </c>
      <c r="D152" s="210" t="s">
        <v>182</v>
      </c>
      <c r="E152" s="188" t="str">
        <f>IF(OR('Asset Info'!B5="Desktop",'Asset Info'!B5="Code based library"),"No",IF(OR(ISBLANK(F144),F144="Yes"),"Yes","No"))</f>
        <v>Yes</v>
      </c>
      <c r="F152" s="113"/>
      <c r="G152" s="64" t="str">
        <f>IF(ISBLANK(F152),"",IF(F152&lt;&gt;"Yes","Recommend to have restricted access for audit trails.","Audit trail access is restricted for unauthodrized users."))</f>
        <v/>
      </c>
      <c r="H152" s="114"/>
      <c r="I152" s="114"/>
      <c r="J152" s="208" t="str">
        <f>IF(F152="Yes","Y","N")</f>
        <v>N</v>
      </c>
      <c r="K152" s="87"/>
    </row>
    <row r="153" spans="1:11">
      <c r="A153" s="119"/>
      <c r="B153" s="46"/>
      <c r="C153" s="11">
        <v>2</v>
      </c>
      <c r="D153" s="187" t="str">
        <f>IF(OR('Asset Info'!B5="Desktop",'Asset Info'!B5="Code based library"),"NA","Others")</f>
        <v>Others</v>
      </c>
      <c r="E153" s="188" t="str">
        <f>IF(E152="No","No",IF(ISBLANK(F152),"Yes","No"))</f>
        <v>Yes</v>
      </c>
      <c r="F153" s="112"/>
      <c r="G153" s="65" t="str">
        <f>IF('Asset Info'!B5="Desktop","Application is a Desktop application and audit trail logging and access is not applicable",IF('Asset Info'!B5="Code based library","Application is code based library and audit trail logging and access is not applicable.",""))</f>
        <v/>
      </c>
      <c r="H153" s="120"/>
      <c r="I153" s="116"/>
      <c r="J153" s="208" t="str">
        <f>IF(D153="NA","NA",IF(E152="No","Y","N"))</f>
        <v>N</v>
      </c>
      <c r="K153" s="118" t="str">
        <f>IF(AND($F153="Yes",ISBLANK($H153)),"Please enter your comments","")</f>
        <v/>
      </c>
    </row>
    <row r="154" spans="1:11" ht="15.75" customHeight="1">
      <c r="A154" s="242" t="s">
        <v>183</v>
      </c>
      <c r="B154" s="242"/>
      <c r="C154" s="242"/>
      <c r="D154" s="242"/>
      <c r="E154" s="242"/>
      <c r="F154" s="242"/>
      <c r="G154" s="242"/>
      <c r="H154" s="242"/>
      <c r="I154" s="242"/>
      <c r="J154" s="243"/>
      <c r="K154" s="87"/>
    </row>
    <row r="155" spans="1:11" ht="48">
      <c r="A155" s="31">
        <v>1</v>
      </c>
      <c r="B155" s="42" t="s">
        <v>184</v>
      </c>
      <c r="C155" s="43">
        <v>1</v>
      </c>
      <c r="D155" s="210" t="s">
        <v>185</v>
      </c>
      <c r="E155" s="188" t="str">
        <f>IF(OR('Asset Info'!B5="Desktop",'Asset Info'!B5="Code based library"),"No",IF(ISBLANK(F156),"Yes","No"))</f>
        <v>Yes</v>
      </c>
      <c r="F155" s="113"/>
      <c r="G155" s="64" t="str">
        <f>IF(ISBLANK(F155),"",IF(F155&lt;&gt;"Yes","Application has no online transactions and hence data consistency and correctness is not mandatory.",""))</f>
        <v/>
      </c>
      <c r="H155" s="116"/>
      <c r="I155" s="116"/>
      <c r="J155" s="208" t="str">
        <f>IF(OR(F155="No",F155="NA"),"Y","N")</f>
        <v>N</v>
      </c>
      <c r="K155" s="87"/>
    </row>
    <row r="156" spans="1:11">
      <c r="A156" s="31"/>
      <c r="B156" s="122"/>
      <c r="C156" s="11">
        <v>2</v>
      </c>
      <c r="D156" s="187" t="str">
        <f>IF(OR('Asset Info'!B5="Desktop",'Asset Info'!B5="Code based library"),"NA","Others")</f>
        <v>Others</v>
      </c>
      <c r="E156" s="188" t="str">
        <f>IF(D156="NA","No",IF(ISBLANK(F155),"Yes","No"))</f>
        <v>Yes</v>
      </c>
      <c r="F156" s="112"/>
      <c r="G156" s="65" t="str">
        <f>IF('Asset Info'!B5="Desktop","Application is a Desktop application and data correctness and consistency is not applicable",IF('Asset Info'!B5="Code based library","Application is code based library andno online transactions are available",""))</f>
        <v/>
      </c>
      <c r="H156" s="120"/>
      <c r="I156" s="116"/>
      <c r="J156" s="208" t="str">
        <f>IF(D156="NA","NA","N")</f>
        <v>N</v>
      </c>
      <c r="K156" s="118" t="str">
        <f>IF(AND($F156="Yes",ISBLANK($H156)),"Please enter your comments","")</f>
        <v/>
      </c>
    </row>
    <row r="157" spans="1:11" ht="48">
      <c r="A157" s="31"/>
      <c r="B157" s="122"/>
      <c r="C157" s="8">
        <v>1.1000000000000001</v>
      </c>
      <c r="D157" s="186" t="s">
        <v>186</v>
      </c>
      <c r="E157" s="87" t="str">
        <f>IF(F155="Yes","Yes","No")</f>
        <v>No</v>
      </c>
      <c r="F157" s="129"/>
      <c r="G157" s="64" t="str">
        <f>IF(ISBLANK(F157),"",IF(F157="Yes","Application has online transactions and data consistency and correctness is maintained by rolling back the transactiosn on failures.","Application has online transactions. Recommend to have rollback mechanisms incase of transaction failures."))</f>
        <v/>
      </c>
      <c r="H157" s="116"/>
      <c r="I157" s="116"/>
      <c r="J157" s="208" t="str">
        <f>IF(OR(F155&lt;&gt;"Yes",ISBLANK(E157)),"",IF($F157&lt;&gt;"Yes","N","Y"))</f>
        <v/>
      </c>
      <c r="K157" s="87"/>
    </row>
    <row r="158" spans="1:11" ht="60">
      <c r="A158" s="31">
        <v>2</v>
      </c>
      <c r="B158" s="42" t="s">
        <v>187</v>
      </c>
      <c r="C158" s="43">
        <v>1</v>
      </c>
      <c r="D158" s="210" t="str">
        <f>IF(OR('Asset Info'!B10="Yes",'Asset Info'!B11="Yes"),"Does the application follow geography specific regulatory and privacy laws for storing sensitive information?",IF(AND(ISBLANK('Asset Info'!B10),ISBLANK('Asset Info'!B11)),"Does the application follow geography specific regulatory and privacy laws for storing sensitive information?","NA"))</f>
        <v>Does the application follow geography specific regulatory and privacy laws for storing sensitive information?</v>
      </c>
      <c r="E158" s="212" t="str">
        <f>IF(D158="NA","No","Yes")</f>
        <v>Yes</v>
      </c>
      <c r="F158" s="135"/>
      <c r="G158" s="74" t="str">
        <f>IF(D158="NA","Application does not deal with SPDI data or business sensitive data or financial data.",IF(ISBLANK(F158),"",IF(F158&lt;&gt;"Yes","Application stores SPDI or business sensitive data. Recommend to follow geography specific regulatory standards to maintain the data security and privacy.","Application stores SPDI or business sensitive data and geography specific regulatory standards are followed to maintain the data security and privacy.")))</f>
        <v/>
      </c>
      <c r="H158" s="136"/>
      <c r="I158" s="137"/>
      <c r="J158" s="208" t="str">
        <f>IF(D158="NA","NA",IF(ISBLANK(F158),"",IF($F158="Yes","Y","")))</f>
        <v/>
      </c>
      <c r="K158" s="87"/>
    </row>
    <row r="159" spans="1:11" ht="36">
      <c r="A159" s="31">
        <v>3</v>
      </c>
      <c r="B159" s="42" t="s">
        <v>188</v>
      </c>
      <c r="C159" s="43">
        <v>1</v>
      </c>
      <c r="D159" s="210" t="str">
        <f>IF('Asset Info'!B5="Desktop","Does the application validates all the inputs to avoid malicious data operations","Does the application validates all the inputs on the server side to avoid any malicious data intrusion?")</f>
        <v>Does the application validates all the inputs on the server side to avoid any malicious data intrusion?</v>
      </c>
      <c r="E159" s="188" t="str">
        <f>IF(D160="NA","No",IF(ISBLANK(F160),"Yes","No"))</f>
        <v>Yes</v>
      </c>
      <c r="F159" s="113"/>
      <c r="G159" s="64" t="str">
        <f>IF(ISBLANK(F159),"",IF('Asset Info'!B5="Desktop",IF(F159&lt;&gt;"Yes","Application do not have validations, recommend to implement input data validation to avaoid any malicious data manipulations","Application validate input data"),IF(F159&lt;&gt;"Yes","Application do not have validations at server side for the input fileds. It is recommended to have server side validations for all data inputs.","Application validates all data inputs at server side to avoid any mailicous data intrusions.")))</f>
        <v/>
      </c>
      <c r="H159" s="114"/>
      <c r="I159" s="114"/>
      <c r="J159" s="208" t="str">
        <f>IF(F159="Yes","Y","N")</f>
        <v>N</v>
      </c>
      <c r="K159" s="87"/>
    </row>
    <row r="160" spans="1:11">
      <c r="A160" s="119"/>
      <c r="B160" s="58"/>
      <c r="C160" s="11">
        <v>2</v>
      </c>
      <c r="D160" s="187" t="str">
        <f>IF('Asset Info'!B5="Code based library","NA","Others")</f>
        <v>Others</v>
      </c>
      <c r="E160" s="188" t="str">
        <f>IF(ISBLANK(F159),"Yes","No")</f>
        <v>Yes</v>
      </c>
      <c r="F160" s="112"/>
      <c r="G160" s="65" t="str">
        <f>IF('Asset Info'!B5="Code based library","Application is available as code based library and input data validation is not applicable","")</f>
        <v/>
      </c>
      <c r="H160" s="120"/>
      <c r="I160" s="116"/>
      <c r="J160" s="208" t="str">
        <f>IF(D160="NA","NA","N")</f>
        <v>N</v>
      </c>
      <c r="K160" s="118" t="str">
        <f>IF(AND($F160="Yes",ISBLANK($H160)),"Please enter your comments","")</f>
        <v/>
      </c>
    </row>
    <row r="161" spans="1:11" ht="84">
      <c r="A161" s="119">
        <v>4</v>
      </c>
      <c r="B161" s="53" t="s">
        <v>189</v>
      </c>
      <c r="C161" s="7">
        <v>1</v>
      </c>
      <c r="D161" s="183" t="s">
        <v>190</v>
      </c>
      <c r="E161" s="188" t="str">
        <f>IF(AND(ISBLANK(F162),D162&lt;&gt;"NA"),"Yes","No")</f>
        <v>Yes</v>
      </c>
      <c r="F161" s="112"/>
      <c r="G161" s="65" t="str">
        <f>IF(ISBLANK(F161),"",IF(F161&lt;&gt;"Yes","Application do not validate and encode the response data. Recommend to validate and encode the response data to avoid any screen distortions.","Application validates and encodes the response data before rendering on screen to avoid screen distirtions incase of data manipulations."))</f>
        <v/>
      </c>
      <c r="H161" s="115"/>
      <c r="I161" s="114"/>
      <c r="J161" s="208" t="str">
        <f>IF(F161="Yes","Y","N")</f>
        <v>N</v>
      </c>
      <c r="K161" s="87"/>
    </row>
    <row r="162" spans="1:11">
      <c r="A162" s="119"/>
      <c r="B162" s="58"/>
      <c r="C162" s="11">
        <v>2</v>
      </c>
      <c r="D162" s="187" t="str">
        <f>IF(OR(OR('Asset Info'!B5="Desktop",'Asset Info'!B5="Code based library"),'Asset Info'!B5="APIs Only"),"NA","Others")</f>
        <v>Others</v>
      </c>
      <c r="E162" s="188" t="str">
        <f>IF(D162="NA","No",IF(ISBLANK(F161),"Yes","No"))</f>
        <v>Yes</v>
      </c>
      <c r="F162" s="112"/>
      <c r="G162" s="65" t="str">
        <f>IF('Asset Info'!B5="Desktop","Application is available as a Desktop application and output data validation is not applicable",IF('Asset Info'!B5="Code based library","Application is code based library and output data validation is not applicable",IF('Asset Info'!B5="APIs Only","API based application and output data validation is not applicable","")))</f>
        <v/>
      </c>
      <c r="H162" s="120"/>
      <c r="I162" s="116"/>
      <c r="J162" s="208" t="str">
        <f>IF(D162="NA","NA","N")</f>
        <v>N</v>
      </c>
      <c r="K162" s="118" t="str">
        <f>IF(AND($F162="Yes",ISBLANK($H162)),"Please enter your comments","")</f>
        <v/>
      </c>
    </row>
    <row r="163" spans="1:11" ht="48">
      <c r="A163" s="31">
        <v>5</v>
      </c>
      <c r="B163" s="42" t="s">
        <v>191</v>
      </c>
      <c r="C163" s="7">
        <v>1</v>
      </c>
      <c r="D163" s="183" t="s">
        <v>192</v>
      </c>
      <c r="E163" s="188" t="str">
        <f>IF(AND(ISBLANK(F164),D164&lt;&gt;"NA"),"Yes","No")</f>
        <v>Yes</v>
      </c>
      <c r="F163" s="112"/>
      <c r="G163" s="65" t="str">
        <f>IF(ISBLANK(F163),"",IF(F163&lt;&gt;"Yes","Application does not enable CSP or CORS or X-Frame options. Recommend to enable these to avoid any browser compromises.","Application enables Content Security Policy (CSP) or CORS or X-Frame options."))</f>
        <v/>
      </c>
      <c r="H163" s="115"/>
      <c r="I163" s="114"/>
      <c r="J163" s="208" t="str">
        <f>IF(F163="Yes","Y","N")</f>
        <v>N</v>
      </c>
      <c r="K163" s="87"/>
    </row>
    <row r="164" spans="1:11">
      <c r="A164" s="31"/>
      <c r="B164" s="44"/>
      <c r="C164" s="11">
        <v>2</v>
      </c>
      <c r="D164" s="187" t="str">
        <f>IF(OR('Asset Info'!B5="Desktop",'Asset Info'!B5="Code based library"),"NA","Others")</f>
        <v>Others</v>
      </c>
      <c r="E164" s="188" t="str">
        <f>IF(D164="NA","no",IF(ISBLANK(F163),"Yes","No"))</f>
        <v>Yes</v>
      </c>
      <c r="F164" s="112"/>
      <c r="G164" s="65" t="str">
        <f>IF('Asset Info'!B5="Desktop","Application is available as a Desktop application and browser security is not applicable",IF('Asset Info'!B5="Code based library","Application is code based library and browser security is not applicable",""))</f>
        <v/>
      </c>
      <c r="H164" s="120"/>
      <c r="I164" s="116"/>
      <c r="J164" s="208" t="str">
        <f>IF(D164="NA","NA","N")</f>
        <v>N</v>
      </c>
      <c r="K164" s="118" t="str">
        <f>IF(AND($F164="Yes",ISBLANK($H164)),"Please enter your comments","")</f>
        <v/>
      </c>
    </row>
    <row r="165" spans="1:11" ht="41.25" customHeight="1">
      <c r="A165" s="31">
        <v>6</v>
      </c>
      <c r="B165" s="42" t="s">
        <v>193</v>
      </c>
      <c r="C165" s="7">
        <v>1</v>
      </c>
      <c r="D165" s="183" t="s">
        <v>194</v>
      </c>
      <c r="E165" s="188" t="str">
        <f>IF(AND(ISBLANK(F166),D166&lt;&gt;"NA"),"Yes","No")</f>
        <v>Yes</v>
      </c>
      <c r="F165" s="112"/>
      <c r="G165" s="65" t="str">
        <f>IF(ISBLANK(F165),"",IF(F165&lt;&gt;"Yes","Application does not use strong encyrpted channel for communication. Recommend to enable TLSv1.2 or above.","Application uses encrypted channel for communication and enables TLSv1.2 or above."))</f>
        <v/>
      </c>
      <c r="H165" s="115"/>
      <c r="I165" s="114"/>
      <c r="J165" s="208" t="str">
        <f>IF(F165="Yes","Y","N")</f>
        <v>N</v>
      </c>
      <c r="K165" s="87"/>
    </row>
    <row r="166" spans="1:11">
      <c r="A166" s="31"/>
      <c r="B166" s="44"/>
      <c r="C166" s="11">
        <v>2</v>
      </c>
      <c r="D166" s="187" t="str">
        <f>IF(OR('Asset Info'!B5="Desktop",'Asset Info'!B5="Code based library"),"NA","Others")</f>
        <v>Others</v>
      </c>
      <c r="E166" s="188" t="str">
        <f>IF(D166="NA","no",IF(ISBLANK(F165),"Yes","No"))</f>
        <v>Yes</v>
      </c>
      <c r="F166" s="112"/>
      <c r="G166" s="65" t="str">
        <f>IF('Asset Info'!B5="Desktop","Application is available as a Desktop application and data transition is not applicable",IF('Asset Info'!B5="Code based library","Application is code based library and data transition is not applicable",""))</f>
        <v/>
      </c>
      <c r="H166" s="120"/>
      <c r="I166" s="116"/>
      <c r="J166" s="208" t="str">
        <f>IF(D166="NA","NA","N")</f>
        <v>N</v>
      </c>
      <c r="K166" s="118" t="str">
        <f>IF(AND($F166="Yes",ISBLANK($H166)),"Please enter your comments","")</f>
        <v/>
      </c>
    </row>
    <row r="167" spans="1:11" ht="24">
      <c r="A167" s="31">
        <v>7</v>
      </c>
      <c r="B167" s="42" t="s">
        <v>195</v>
      </c>
      <c r="C167" s="43">
        <v>1</v>
      </c>
      <c r="D167" s="210" t="s">
        <v>196</v>
      </c>
      <c r="E167" s="188" t="str">
        <f>IF(OR('Asset Info'!B5="Desktop",'Asset Info'!B5="Code based library"),IF(F46="Yes","Yes","No"),IF(ISBLANK(F168),"Yes","No"))</f>
        <v>Yes</v>
      </c>
      <c r="F167" s="135"/>
      <c r="G167" s="74" t="str">
        <f>IF(ISBLANK(F167),"",IF(F167&lt;&gt;"Yes","Application could be vulnerable to SQL injection attacks as there is no parameterization of queries. Recommend to parameterize the queries.",""))</f>
        <v/>
      </c>
      <c r="H167" s="136"/>
      <c r="I167" s="137"/>
      <c r="J167" s="208"/>
      <c r="K167" s="87"/>
    </row>
    <row r="168" spans="1:11">
      <c r="A168" s="31"/>
      <c r="B168" s="46"/>
      <c r="C168" s="11">
        <v>2</v>
      </c>
      <c r="D168" s="187" t="str">
        <f>IF(OR('Asset Info'!B5="Desktop",'Asset Info'!B5="Code based library"),IF(F46="Yes","Others","NA"),"Others")</f>
        <v>Others</v>
      </c>
      <c r="E168" s="188" t="str">
        <f>IF(D168="NA","No",IF(ISBLANK(F167),"Yes","No"))</f>
        <v>Yes</v>
      </c>
      <c r="F168" s="112"/>
      <c r="G168" s="65" t="str">
        <f>IF(AND('Asset Info'!B5="Desktop",D168="NA"),"Application is available as a Desktop application and data storage and querying is not applicable",IF(AND('Asset Info'!B5="Code based library",D168="NA"),"Application is code based library and data storage and querying is not applicable",""))</f>
        <v/>
      </c>
      <c r="H168" s="120"/>
      <c r="I168" s="116"/>
      <c r="J168" s="208" t="str">
        <f>IF(D168="NA","NA","N")</f>
        <v>N</v>
      </c>
      <c r="K168" s="118" t="str">
        <f>IF(AND($F168="Yes",ISBLANK($H168)),"Please enter your comments","")</f>
        <v/>
      </c>
    </row>
    <row r="169" spans="1:11" ht="72">
      <c r="A169" s="31"/>
      <c r="B169" s="122"/>
      <c r="C169" s="43">
        <v>1.1000000000000001</v>
      </c>
      <c r="D169" s="214" t="s">
        <v>197</v>
      </c>
      <c r="E169" s="118" t="str">
        <f>IF(F167="Yes","Yes","No")</f>
        <v>No</v>
      </c>
      <c r="F169" s="138"/>
      <c r="G169" s="74" t="str">
        <f>IF(ISBLANK(F169),"",IF(F169&lt;&gt;"Yes","Recommended to have  strong type checking of input parameters (especially for characters such as single quote, double dash, ampersand, hash, slash, and semicolon)","SQL queries cannot not be modified to perform unintended operation as parameterization of queries is implemented and strong type checking of input parameters is performed."))</f>
        <v/>
      </c>
      <c r="H169" s="136"/>
      <c r="I169" s="137"/>
      <c r="J169" s="208" t="str">
        <f>IF(OR(F167&lt;&gt;"Yes",ISBLANK(E169)),"",IF($F169&lt;&gt;"Yes","N","Y"))</f>
        <v/>
      </c>
      <c r="K169" s="87"/>
    </row>
    <row r="170" spans="1:11" ht="24">
      <c r="A170" s="31">
        <v>8</v>
      </c>
      <c r="B170" s="55" t="s">
        <v>198</v>
      </c>
      <c r="C170" s="43">
        <v>1</v>
      </c>
      <c r="D170" s="210" t="str">
        <f>IF(OR(OR(AND('Asset Info'!B5="Desktop",F7="Yes"),'Asset Info'!B5="Code based library"),'Asset Info'!B5="APIs Only"),"NA","Does the application connects to LDAP for user authentication?")</f>
        <v>Does the application connects to LDAP for user authentication?</v>
      </c>
      <c r="E170" s="193" t="str">
        <f>IF(D170="NA","No","Yes")</f>
        <v>Yes</v>
      </c>
      <c r="F170" s="113"/>
      <c r="G170" s="64" t="str">
        <f>IF(AND('Asset Info'!B5="Desktop",F7="Yes"),"Application is available as a Desktop application and LDAP injection is not applicable",IF('Asset Info'!B5="Code based library","Application is code based library and LDAP injection is not applicable",IF('Asset Info'!B5="APIs Only","API based application and LDAP injection is not applicable",IF(OR(F170="No",F170="NA"),"Application do not connect to LDAP for user authentciation. It is not applicable.",""))))</f>
        <v/>
      </c>
      <c r="H170" s="116"/>
      <c r="I170" s="116"/>
      <c r="J170" s="208" t="str">
        <f>IF(D170="NA","NA",IF(OR(F170="No",F170="NA"),"Y",""))</f>
        <v/>
      </c>
      <c r="K170" s="87"/>
    </row>
    <row r="171" spans="1:11" ht="37.5" customHeight="1">
      <c r="A171" s="31"/>
      <c r="B171" s="122"/>
      <c r="C171" s="43">
        <v>1.1000000000000001</v>
      </c>
      <c r="D171" s="211" t="s">
        <v>199</v>
      </c>
      <c r="E171" s="212" t="str">
        <f>IF(F170="Yes","Yes","No")</f>
        <v>No</v>
      </c>
      <c r="F171" s="132"/>
      <c r="G171" s="73" t="str">
        <f>IF(ISBLANK(F171),"",IF(F171&lt;&gt;"Yes","Account managed to connect LDAP should be least privileges to avoid any manipulations. Recommend to maintain least privileges for the account.",""))</f>
        <v/>
      </c>
      <c r="H171" s="133"/>
      <c r="I171" s="133"/>
      <c r="J171" s="208" t="str">
        <f>IF(OR(F171="No",F171="NA"),"N","")</f>
        <v/>
      </c>
      <c r="K171" s="87"/>
    </row>
    <row r="172" spans="1:11" ht="72">
      <c r="A172" s="119"/>
      <c r="B172" s="121"/>
      <c r="C172" s="7" t="s">
        <v>68</v>
      </c>
      <c r="D172" s="183" t="s">
        <v>200</v>
      </c>
      <c r="E172" s="212" t="str">
        <f>IF(AND(AND(F170="Yes",OR(F171="Yes")),F173&lt;&gt;"Yes"),"Yes","No")</f>
        <v>No</v>
      </c>
      <c r="F172" s="143"/>
      <c r="G172" s="73" t="str">
        <f>IF(ISBLANK(F172),"",IF(F172&lt;&gt;"Yes","LDAP queries cannot not be modified to perform unintended operation as least privilege of account is provided. However recommend to have strong type checking of input parameters for meta characters.","LDAP queries cannot not be modified to perform unintended operation as least privilege of account is provided and strong type checking of input parameters is performed."))</f>
        <v/>
      </c>
      <c r="H172" s="144"/>
      <c r="I172" s="133"/>
      <c r="J172" s="208" t="str">
        <f>IF(AND(E172="Yes",F172="Yes"),"Y","N")</f>
        <v>N</v>
      </c>
      <c r="K172" s="87"/>
    </row>
    <row r="173" spans="1:11" ht="39.75" customHeight="1">
      <c r="A173" s="127"/>
      <c r="B173" s="122"/>
      <c r="C173" s="59" t="s">
        <v>70</v>
      </c>
      <c r="D173" s="210" t="str">
        <f>IF(AND(F7="Yes",F17="Yes"),"NA","Others")</f>
        <v>Others</v>
      </c>
      <c r="E173" s="212" t="str">
        <f>IF(D173="NA","Yes",IF(AND(AND(F170="Yes",OR(F171="Yes")),F172&lt;&gt;"Yes"),"Yes","No"))</f>
        <v>No</v>
      </c>
      <c r="F173" s="132"/>
      <c r="G173" s="73" t="str">
        <f>IF($F$17="Yes","Application has no user authentication and authorization as it is available as services / Desktop Application/ Macros.","")</f>
        <v/>
      </c>
      <c r="H173" s="133"/>
      <c r="I173" s="133"/>
      <c r="J173" s="208" t="str">
        <f>IF(D173="NA","NA","N")</f>
        <v>N</v>
      </c>
      <c r="K173" s="118" t="str">
        <f>IF(AND($F173="Yes",ISBLANK($H173)),"Please enter your comments","")</f>
        <v/>
      </c>
    </row>
    <row r="174" spans="1:11" ht="24">
      <c r="A174" s="31">
        <v>9</v>
      </c>
      <c r="B174" s="60" t="s">
        <v>201</v>
      </c>
      <c r="C174" s="43">
        <v>1</v>
      </c>
      <c r="D174" s="210" t="str">
        <f>IF('Asset Info'!B5="Code based library","NA","Does the application processes xml files?")</f>
        <v>Does the application processes xml files?</v>
      </c>
      <c r="E174" s="212" t="s">
        <v>83</v>
      </c>
      <c r="F174" s="135"/>
      <c r="G174" s="74" t="str">
        <f>IF('Asset Info'!B5="Code based library","Application is code based library and XML injection is not applicable",IF(ISBLANK(F174),"",IF(F174&lt;&gt;"Yes","Application do not process XML files. It is not applicable.","")))</f>
        <v/>
      </c>
      <c r="H174" s="136"/>
      <c r="I174" s="137"/>
      <c r="J174" s="208" t="str">
        <f>IF(D174="NA","NA",IF(OR(F174="No",F174="NA"),"Y",""))</f>
        <v/>
      </c>
      <c r="K174" s="87"/>
    </row>
    <row r="175" spans="1:11" ht="96">
      <c r="A175" s="31"/>
      <c r="B175" s="122"/>
      <c r="C175" s="43">
        <v>1.1000000000000001</v>
      </c>
      <c r="D175" s="210" t="s">
        <v>202</v>
      </c>
      <c r="E175" s="118" t="str">
        <f>IF(OR(F176="Yes",OR(E174="No",F174&lt;&gt;"Yes")),"No","Yes")</f>
        <v>No</v>
      </c>
      <c r="F175" s="135"/>
      <c r="G175" s="74" t="str">
        <f>IF(ISBLANK(F175),"",IF(F175&lt;&gt;"Yes","Application process XML files. However, recommend to have strong type checking for input parameters like Single quote Double quote Angular parentheses and Comment tag Ampersand CDATA section delimiters","Application process XML files and has strong type checking for input parameters like Single quote Double quote Angular parentheses and Comment tag Ampersand CDATA section delimiters"))</f>
        <v/>
      </c>
      <c r="H175" s="136"/>
      <c r="I175" s="137"/>
      <c r="J175" s="208" t="str">
        <f>IF(OR(F174&lt;&gt;"Yes",ISBLANK(E175)),"",IF($F175&lt;&gt;"Yes","N","Y"))</f>
        <v/>
      </c>
      <c r="K175" s="87"/>
    </row>
    <row r="176" spans="1:11">
      <c r="A176" s="31"/>
      <c r="C176" s="33">
        <v>1.2</v>
      </c>
      <c r="D176" s="195" t="s">
        <v>46</v>
      </c>
      <c r="E176" s="118" t="str">
        <f>IF(OR(F174&lt;&gt;"Yes",F175="Yes"),"No","Yes")</f>
        <v>No</v>
      </c>
      <c r="F176" s="113"/>
      <c r="G176" s="64"/>
      <c r="H176" s="120"/>
      <c r="I176" s="116"/>
      <c r="J176" s="208" t="s">
        <v>47</v>
      </c>
      <c r="K176" s="118" t="str">
        <f>IF(AND($F176="Yes",ISBLANK($H176)),"Please enter your comments","")</f>
        <v/>
      </c>
    </row>
    <row r="177" spans="1:11" ht="84">
      <c r="A177" s="31">
        <v>10</v>
      </c>
      <c r="B177" s="55" t="s">
        <v>203</v>
      </c>
      <c r="C177" s="131">
        <v>1</v>
      </c>
      <c r="D177" s="216" t="str">
        <f>IF('Asset Info'!B5="Code based library","NA","Does the application perform strong type checking of input parameters ((specially for meta characters like equal, asterisk, question mark, slash, double slash, single quote, less than, and greater than) while querying XML data?")</f>
        <v>Does the application perform strong type checking of input parameters ((specially for meta characters like equal, asterisk, question mark, slash, double slash, single quote, less than, and greater than) while querying XML data?</v>
      </c>
      <c r="E177" s="118" t="s">
        <v>83</v>
      </c>
      <c r="F177" s="113"/>
      <c r="G177" s="74" t="str">
        <f>IF('Asset Info'!B5="Code based library","Application is code based library and XPath injection is not applicable",IF(ISBLANK(F177),"",IF(F177="No","Application queries XML data and not having input parametrs validation. Recommend to have strong type checking for input parameters like meta characters like equal, asterisk, question mark, slash, double slash, single quote, less than, and greater than.",IF(F177="NA","Xpath injection is not applicable as XML data is not queried","Application queries XML data and has strong type checking for input parameters like meta characters like equal, asterisk, question mark, slash, double slash, single quote, less than, and greater than."))))</f>
        <v/>
      </c>
      <c r="H177" s="116"/>
      <c r="I177" s="116"/>
      <c r="J177" s="208" t="str">
        <f>IF(D177="NA","NA",IF(OR(F177="Yes",F177="NA"),"Y","N"))</f>
        <v>N</v>
      </c>
      <c r="K177" s="87"/>
    </row>
    <row r="178" spans="1:11" ht="24">
      <c r="A178" s="31">
        <v>11</v>
      </c>
      <c r="B178" s="55" t="s">
        <v>204</v>
      </c>
      <c r="C178" s="43">
        <v>1</v>
      </c>
      <c r="D178" s="210" t="s">
        <v>205</v>
      </c>
      <c r="E178" s="212" t="s">
        <v>83</v>
      </c>
      <c r="F178" s="135"/>
      <c r="G178" s="74" t="str">
        <f>IF(ISBLANK(F178),"",IF(F178&lt;&gt;"Yes","Application do not have native system calls and hence it is not applicable.",""))</f>
        <v/>
      </c>
      <c r="H178" s="136"/>
      <c r="I178" s="137"/>
      <c r="J178" s="208" t="str">
        <f>IF(OR(F178="No",F178="NA"),"Y","")</f>
        <v/>
      </c>
      <c r="K178" s="87"/>
    </row>
    <row r="179" spans="1:11" ht="48">
      <c r="A179" s="31"/>
      <c r="B179" s="122"/>
      <c r="C179" s="43">
        <v>1.1000000000000001</v>
      </c>
      <c r="D179" s="210" t="s">
        <v>206</v>
      </c>
      <c r="E179" s="118" t="str">
        <f>IF(OR(F180="Yes",OR(E178="No",F178&lt;&gt;"Yes")),"No","Yes")</f>
        <v>No</v>
      </c>
      <c r="F179" s="135"/>
      <c r="G179" s="74" t="str">
        <f>IF(ISBLANK(F179),"",IF(F179&lt;&gt;"Yes","Application has system calls. Recommend to have the user inputs validated and do not derive system calls with the user input.","Application has input validation fro input parameters and do not derive system calls with the user input."))</f>
        <v/>
      </c>
      <c r="H179" s="136"/>
      <c r="I179" s="137"/>
      <c r="J179" s="208" t="str">
        <f>IF(OR(F178&lt;&gt;"Yes",ISBLANK(E179)),"",IF($F179&lt;&gt;"Yes","N","Y"))</f>
        <v/>
      </c>
      <c r="K179" s="87"/>
    </row>
    <row r="180" spans="1:11">
      <c r="A180" s="31"/>
      <c r="C180" s="33">
        <v>1.2</v>
      </c>
      <c r="D180" s="195" t="s">
        <v>46</v>
      </c>
      <c r="E180" s="118" t="str">
        <f>IF(OR(F178&lt;&gt;"Yes",F179="Yes"),"No","Yes")</f>
        <v>No</v>
      </c>
      <c r="F180" s="113"/>
      <c r="G180" s="64"/>
      <c r="H180" s="120"/>
      <c r="I180" s="116"/>
      <c r="J180" s="208" t="s">
        <v>47</v>
      </c>
      <c r="K180" s="118" t="str">
        <f>IF(AND($F180="Yes",ISBLANK($H180)),"Please enter your comments","")</f>
        <v/>
      </c>
    </row>
    <row r="181" spans="1:11" ht="36">
      <c r="A181" s="31">
        <v>12</v>
      </c>
      <c r="B181" s="54" t="s">
        <v>207</v>
      </c>
      <c r="C181" s="43">
        <v>1</v>
      </c>
      <c r="D181" s="210" t="s">
        <v>208</v>
      </c>
      <c r="E181" s="212" t="s">
        <v>83</v>
      </c>
      <c r="F181" s="135"/>
      <c r="G181" s="74" t="str">
        <f>IF(ISBLANK(F181),"",IF(F181&lt;&gt;"Yes","Application does not processes files and it is not applicable.",""))</f>
        <v/>
      </c>
      <c r="H181" s="136"/>
      <c r="I181" s="137"/>
      <c r="J181" s="208" t="str">
        <f>IF(OR(F181="No",F181="NA"),"Y","")</f>
        <v/>
      </c>
      <c r="K181" s="87"/>
    </row>
    <row r="182" spans="1:11" ht="37.5" customHeight="1">
      <c r="A182" s="31"/>
      <c r="B182" s="122"/>
      <c r="C182" s="43">
        <v>1.1000000000000001</v>
      </c>
      <c r="D182" s="210" t="s">
        <v>209</v>
      </c>
      <c r="E182" s="118" t="str">
        <f>IF(OR(F183="Yes",OR(E181="No",F181&lt;&gt;"Yes")),"No","Yes")</f>
        <v>No</v>
      </c>
      <c r="F182" s="135"/>
      <c r="G182" s="74" t="str">
        <f>IF(ISBLANK(F182),"",IF(F182&lt;&gt;"Yes","Application processess the files. However recommend to validate for length, MIME type and size fo the files while processing the files.","Application validates for length, MIME type and size fo the files while processing the files."))</f>
        <v/>
      </c>
      <c r="H182" s="136"/>
      <c r="I182" s="137"/>
      <c r="J182" s="208" t="str">
        <f>IF(OR(F181&lt;&gt;"Yes",ISBLANK(E182)),"",IF($F182&lt;&gt;"Yes","N","Y"))</f>
        <v/>
      </c>
      <c r="K182" s="87"/>
    </row>
    <row r="183" spans="1:11">
      <c r="A183" s="31"/>
      <c r="C183" s="33">
        <v>1.2</v>
      </c>
      <c r="D183" s="195" t="s">
        <v>46</v>
      </c>
      <c r="E183" s="118" t="str">
        <f>IF(OR(F181&lt;&gt;"Yes",F182="Yes"),"No","Yes")</f>
        <v>No</v>
      </c>
      <c r="F183" s="113"/>
      <c r="G183" s="64"/>
      <c r="H183" s="120"/>
      <c r="I183" s="116"/>
      <c r="J183" s="208" t="s">
        <v>47</v>
      </c>
      <c r="K183" s="118" t="str">
        <f>IF(AND($F183="Yes",ISBLANK($H183)),"Please enter your comments","")</f>
        <v/>
      </c>
    </row>
    <row r="184" spans="1:11" ht="24">
      <c r="A184" s="31">
        <v>13</v>
      </c>
      <c r="B184" s="42" t="s">
        <v>210</v>
      </c>
      <c r="C184" s="43">
        <v>1</v>
      </c>
      <c r="D184" s="210" t="s">
        <v>211</v>
      </c>
      <c r="E184" s="212" t="str">
        <f>IF(D186="NA","No","Yes")</f>
        <v>Yes</v>
      </c>
      <c r="F184" s="135"/>
      <c r="G184" s="74" t="str">
        <f>IF(ISBLANK(F184),"",IF(F184&lt;&gt;"Yes","Application do not have email functionality. It is not applicable.",""))</f>
        <v/>
      </c>
      <c r="H184" s="136"/>
      <c r="I184" s="137"/>
      <c r="J184" s="208" t="str">
        <f>IF(OR(F184="No",F184="NA"),"Y","")</f>
        <v/>
      </c>
      <c r="K184" s="87"/>
    </row>
    <row r="185" spans="1:11" ht="41.25" customHeight="1">
      <c r="A185" s="31"/>
      <c r="B185" s="122"/>
      <c r="C185" s="43">
        <v>1.1000000000000001</v>
      </c>
      <c r="D185" s="210" t="s">
        <v>212</v>
      </c>
      <c r="E185" s="118" t="str">
        <f>IF(OR(F186="Yes",OR(E184="No",F184&lt;&gt;"Yes")),"No","Yes")</f>
        <v>No</v>
      </c>
      <c r="F185" s="135"/>
      <c r="G185" s="74" t="str">
        <f>IF(ISBLANK(F185),"",IF(F185&lt;&gt;"Yes","Application has email functionality. Recommend to enable secure SMTP for communicating the information shared through mail via secured channel.","Application has email functionality and  secure SMTP is enabled for communicating the information shared through mail via secured channel."))</f>
        <v/>
      </c>
      <c r="H185" s="136"/>
      <c r="I185" s="137"/>
      <c r="J185" s="208" t="str">
        <f>IF(OR(F184&lt;&gt;"Yes",ISBLANK(E185)),"",IF($F185&lt;&gt;"Yes","N","Y"))</f>
        <v/>
      </c>
      <c r="K185" s="87"/>
    </row>
    <row r="186" spans="1:11">
      <c r="A186" s="31"/>
      <c r="C186" s="33">
        <v>1.2</v>
      </c>
      <c r="D186" s="195" t="str">
        <f>IF(OR('Asset Info'!B5="Desktop",'Asset Info'!B5="Code based library"),"NA","Others")</f>
        <v>Others</v>
      </c>
      <c r="E186" s="118" t="str">
        <f>IF(OR(F184&lt;&gt;"Yes",F185="Yes"),"No","Yes")</f>
        <v>No</v>
      </c>
      <c r="F186" s="113"/>
      <c r="G186" s="64" t="str">
        <f>IF('Asset Info'!B5="Desktop","Application is available as a Desktop application and email functioanlity is not applicable",IF('Asset Info'!B5="Code based library","Application is code based library and email functionality is not applicable",""))</f>
        <v/>
      </c>
      <c r="H186" s="120"/>
      <c r="I186" s="116"/>
      <c r="J186" s="208" t="str">
        <f>IF(D186="NA","NA","N")</f>
        <v>N</v>
      </c>
      <c r="K186" s="118" t="str">
        <f>IF(AND($F186="Yes",ISBLANK($H186)),"Please enter your comments","")</f>
        <v/>
      </c>
    </row>
    <row r="187" spans="1:11" ht="60">
      <c r="A187" s="31">
        <v>14</v>
      </c>
      <c r="B187" s="42" t="s">
        <v>213</v>
      </c>
      <c r="C187" s="7">
        <v>1</v>
      </c>
      <c r="D187" s="183" t="s">
        <v>214</v>
      </c>
      <c r="E187" s="188" t="str">
        <f>IF(ISBLANK(F188),"Yes","No")</f>
        <v>Yes</v>
      </c>
      <c r="F187" s="112"/>
      <c r="G187" s="65" t="str">
        <f>IF(ISBLANK(F187),"",IF(F187&lt;&gt;"Yes","Application is not having protection against memory leak issues. Recommend to use latest libraries and to have input validations to check the length and size of the input data.","Application has proper input validations and uses latest libraries to avoid any memory leak issues."))</f>
        <v/>
      </c>
      <c r="H187" s="115"/>
      <c r="I187" s="114"/>
      <c r="J187" s="208" t="str">
        <f>IF(F187="Yes","Y","N")</f>
        <v>N</v>
      </c>
      <c r="K187" s="87"/>
    </row>
    <row r="188" spans="1:11">
      <c r="A188" s="119"/>
      <c r="B188" s="58"/>
      <c r="C188" s="11">
        <v>2</v>
      </c>
      <c r="D188" s="187" t="s">
        <v>46</v>
      </c>
      <c r="E188" s="188" t="str">
        <f>IF(ISBLANK(F187),"Yes","No")</f>
        <v>Yes</v>
      </c>
      <c r="F188" s="112"/>
      <c r="G188" s="65"/>
      <c r="H188" s="120"/>
      <c r="I188" s="120"/>
      <c r="J188" s="230" t="s">
        <v>47</v>
      </c>
      <c r="K188" s="118" t="str">
        <f>IF(AND($F188="Yes",ISBLANK($H188)),"Please enter your comments","")</f>
        <v/>
      </c>
    </row>
    <row r="189" spans="1:11" ht="48">
      <c r="A189" s="231">
        <v>15</v>
      </c>
      <c r="B189" s="55" t="s">
        <v>215</v>
      </c>
      <c r="C189" s="43">
        <v>1</v>
      </c>
      <c r="D189" s="210" t="s">
        <v>216</v>
      </c>
      <c r="E189" s="232" t="s">
        <v>83</v>
      </c>
      <c r="F189" s="233"/>
      <c r="G189" s="234" t="str">
        <f>IF(F189="Yes","Application follows secure programming guidelines to avoid integer overflow issues.",IF(F189="NA","Integer overflow issues are not applicable.",""))</f>
        <v/>
      </c>
      <c r="H189" s="235"/>
      <c r="I189" s="235"/>
      <c r="J189" s="236" t="str">
        <f>IF(OR(F189="Yes",F189="NA"),"Y","N")</f>
        <v>N</v>
      </c>
      <c r="K189" s="201"/>
    </row>
    <row r="190" spans="1:11" ht="15.75" customHeight="1">
      <c r="A190" s="242" t="s">
        <v>217</v>
      </c>
      <c r="B190" s="242"/>
      <c r="C190" s="242"/>
      <c r="D190" s="242"/>
      <c r="E190" s="242"/>
      <c r="F190" s="242"/>
      <c r="G190" s="242"/>
      <c r="H190" s="242"/>
      <c r="I190" s="242"/>
      <c r="J190" s="243"/>
      <c r="K190" s="87"/>
    </row>
    <row r="191" spans="1:11" ht="36">
      <c r="A191" s="31">
        <v>1</v>
      </c>
      <c r="B191" s="61" t="s">
        <v>218</v>
      </c>
      <c r="C191" s="43">
        <v>1</v>
      </c>
      <c r="D191" s="210" t="s">
        <v>219</v>
      </c>
      <c r="E191" s="212" t="str">
        <f>IF(D193="NA","No","Yes")</f>
        <v>Yes</v>
      </c>
      <c r="F191" s="135"/>
      <c r="G191" s="74" t="str">
        <f>IF(ISBLANK(F191),"",IF(F191&lt;&gt;"Yes","Application do not generate any reports that require digital signatures.",""))</f>
        <v/>
      </c>
      <c r="H191" s="136"/>
      <c r="I191" s="137"/>
      <c r="J191" s="208" t="str">
        <f>IF(OR(F191="No",F191="NA"),"Y","")</f>
        <v/>
      </c>
      <c r="K191" s="87"/>
    </row>
    <row r="192" spans="1:11" ht="39" customHeight="1">
      <c r="A192" s="31"/>
      <c r="B192" s="122"/>
      <c r="C192" s="43">
        <v>1.1000000000000001</v>
      </c>
      <c r="D192" s="210" t="s">
        <v>220</v>
      </c>
      <c r="E192" s="118" t="str">
        <f>IF(D193="NA","No",IF(OR(F193="Yes",OR(E191="No",F191&lt;&gt;"Yes")),"No","Yes"))</f>
        <v>No</v>
      </c>
      <c r="F192" s="135"/>
      <c r="G192" s="74" t="str">
        <f>IF(ISBLANK(F192),"",IF(F192&lt;&gt;"Yes","Application generate reports that requre digital signatures. Recommend to store the certificates securely in a vault or similar secure storages.","Application generate reports that requre digital signatures and the certificates are securely stored in a vault or similar secure storages."))</f>
        <v/>
      </c>
      <c r="H192" s="136"/>
      <c r="I192" s="137"/>
      <c r="J192" s="208" t="str">
        <f>IF(OR(F191&lt;&gt;"Yes",ISBLANK(E192)),"",IF($F192&lt;&gt;"Yes","N","Y"))</f>
        <v/>
      </c>
      <c r="K192" s="87"/>
    </row>
    <row r="193" spans="1:11">
      <c r="A193" s="119"/>
      <c r="B193" s="121"/>
      <c r="C193" s="33">
        <v>1.2</v>
      </c>
      <c r="D193" s="195" t="str">
        <f>IF(OR('Asset Info'!B5="Desktop",'Asset Info'!B5="Code based library"),"NA","Others")</f>
        <v>Others</v>
      </c>
      <c r="E193" s="118" t="str">
        <f>IF(D193="NA","No",IF(AND(F191="Yes",ISBLANK(F192)),"Yes","No"))</f>
        <v>No</v>
      </c>
      <c r="F193" s="113"/>
      <c r="G193" s="64" t="str">
        <f>IF('Asset Info'!B5="Desktop","Utilization of Digital Signature is not applicable as it is available as Desktop Application.",IF('Asset Info'!B5="Code based library","Utilization of Digital Signature is not applicable as it is code based library",""))</f>
        <v/>
      </c>
      <c r="H193" s="120"/>
      <c r="I193" s="116"/>
      <c r="J193" s="208" t="str">
        <f>IF(D193="NA","NA","N")</f>
        <v>N</v>
      </c>
      <c r="K193" s="118" t="str">
        <f>IF(AND($F193="Yes",ISBLANK($H193)),"Please enter your comments","")</f>
        <v/>
      </c>
    </row>
    <row r="194" spans="1:11" ht="15.75" customHeight="1">
      <c r="A194" s="242" t="s">
        <v>221</v>
      </c>
      <c r="B194" s="242"/>
      <c r="C194" s="242"/>
      <c r="D194" s="242"/>
      <c r="E194" s="242"/>
      <c r="F194" s="242"/>
      <c r="G194" s="242"/>
      <c r="H194" s="242"/>
      <c r="I194" s="242"/>
      <c r="J194" s="243"/>
      <c r="K194" s="87"/>
    </row>
    <row r="195" spans="1:11" ht="48">
      <c r="A195" s="31">
        <v>1</v>
      </c>
      <c r="B195" s="42" t="s">
        <v>222</v>
      </c>
      <c r="C195" s="7">
        <v>1</v>
      </c>
      <c r="D195" s="183" t="s">
        <v>223</v>
      </c>
      <c r="E195" s="188" t="str">
        <f>IF(D196="NA","No","Yes")</f>
        <v>Yes</v>
      </c>
      <c r="F195" s="112"/>
      <c r="G195" s="65" t="str">
        <f>IF(ISBLANK(F195),"",IF(F195&lt;&gt;"Yes","Application is recommended to have built-in throttling, rate limit and input size of the data validation to ensure optimal usage of resources.","Computational and storage resource exhaustion is guarded against by using preventive techniques like in-built throttling, rate limiting and input validations."))</f>
        <v/>
      </c>
      <c r="H195" s="115"/>
      <c r="I195" s="114"/>
      <c r="J195" s="208" t="str">
        <f>IF(F195="Yes","Y","N")</f>
        <v>N</v>
      </c>
      <c r="K195" s="87"/>
    </row>
    <row r="196" spans="1:11">
      <c r="A196" s="119"/>
      <c r="B196" s="58"/>
      <c r="C196" s="11">
        <v>2</v>
      </c>
      <c r="D196" s="187" t="str">
        <f>IF(OR('Asset Info'!B5="Desktop",'Asset Info'!B5="Code based library"),"NA","Others")</f>
        <v>Others</v>
      </c>
      <c r="E196" s="188" t="str">
        <f>IF(D196="NA","No",IF(ISBLANK(F195),"Yes","No"))</f>
        <v>Yes</v>
      </c>
      <c r="F196" s="112"/>
      <c r="G196" s="65" t="str">
        <f>IF('Asset Info'!B5="Desktop","Inbuilt throttling and rate limiting are not applicable as it is available as Desktop Application.",IF('Asset Info'!B5="Code based library","Inbuilt throttling and rate limiting are not applicable as it is code based library",""))</f>
        <v/>
      </c>
      <c r="H196" s="120"/>
      <c r="I196" s="116"/>
      <c r="J196" s="208" t="str">
        <f>IF(D196="NA","NA","N")</f>
        <v>N</v>
      </c>
      <c r="K196" s="118" t="str">
        <f>IF(AND($F196="Yes",ISBLANK($H196)),"Please enter your comments","")</f>
        <v/>
      </c>
    </row>
    <row r="197" spans="1:11" ht="60">
      <c r="A197" s="119">
        <v>2</v>
      </c>
      <c r="B197" s="51" t="s">
        <v>224</v>
      </c>
      <c r="C197" s="7">
        <v>1</v>
      </c>
      <c r="D197" s="183" t="s">
        <v>225</v>
      </c>
      <c r="E197" s="213" t="str">
        <f>IF(D199="NA","No","Yes")</f>
        <v>Yes</v>
      </c>
      <c r="F197" s="143"/>
      <c r="G197" s="75" t="str">
        <f>IF(ISBLANK(F197),"",IF(F197&lt;&gt;"Yes","Application do not have concurrent transactions..",""))</f>
        <v/>
      </c>
      <c r="H197" s="145"/>
      <c r="I197" s="137"/>
      <c r="J197" s="208" t="str">
        <f>IF(OR(F197="No",F197="NA"),"Y","")</f>
        <v/>
      </c>
      <c r="K197" s="87"/>
    </row>
    <row r="198" spans="1:11" ht="49.5" customHeight="1">
      <c r="A198" s="119"/>
      <c r="B198" s="121"/>
      <c r="C198" s="8">
        <v>1.1000000000000001</v>
      </c>
      <c r="D198" s="186" t="s">
        <v>226</v>
      </c>
      <c r="E198" s="118" t="str">
        <f>IF(D199="NA","No",IF(OR(F199="Yes",OR(E197="No",F197&lt;&gt;"Yes")),"No","Yes"))</f>
        <v>No</v>
      </c>
      <c r="F198" s="132"/>
      <c r="G198" s="74" t="str">
        <f>IF(ISBLANK(F198),"",IF(F198&lt;&gt;"Yes","Application deals with concurrent transactions. Recommend to have proper lockcing frameworks to avoid dead lock conditions incase of concurrent transactions.","Application deals with concurrent transactions and has proper locking mechanisms to avoid dead lock conditions."))</f>
        <v/>
      </c>
      <c r="H198" s="146"/>
      <c r="I198" s="137"/>
      <c r="J198" s="208" t="str">
        <f>IF(OR(F197&lt;&gt;"Yes",ISBLANK(E198)),"",IF($F198&lt;&gt;"Yes","N","Y"))</f>
        <v/>
      </c>
      <c r="K198" s="87"/>
    </row>
    <row r="199" spans="1:11">
      <c r="A199" s="31"/>
      <c r="B199" s="122"/>
      <c r="C199" s="62">
        <v>1.2</v>
      </c>
      <c r="D199" s="195" t="str">
        <f>IF(OR('Asset Info'!B5="Desktop",'Asset Info'!B5="Code based library"),"NA","Others")</f>
        <v>Others</v>
      </c>
      <c r="E199" s="118" t="str">
        <f>IF(D199="NA","No",IF(AND(F197="Yes",ISBLANK(F198)),"Yes","No"))</f>
        <v>No</v>
      </c>
      <c r="F199" s="113"/>
      <c r="G199" s="68" t="str">
        <f>IF('Asset Info'!B5="Desktop","Race condition is not applicable as it is available as Desktop Application.",IF('Asset Info'!B5="Code based library","Race condition is not applicable as it is code based library",""))</f>
        <v/>
      </c>
      <c r="H199" s="116"/>
      <c r="I199" s="116"/>
      <c r="J199" s="208" t="str">
        <f>IF(D199="NA","NA","N")</f>
        <v>N</v>
      </c>
      <c r="K199" s="118" t="str">
        <f>IF(AND($F199="Yes",ISBLANK($H199)),"Please enter your comments","")</f>
        <v/>
      </c>
    </row>
    <row r="200" spans="1:11">
      <c r="A200" s="147"/>
    </row>
    <row r="201" spans="1:11">
      <c r="A201" s="147"/>
    </row>
    <row r="202" spans="1:11">
      <c r="A202" s="147"/>
    </row>
    <row r="203" spans="1:11">
      <c r="A203" s="147"/>
    </row>
    <row r="204" spans="1:11">
      <c r="A204" s="147"/>
    </row>
    <row r="205" spans="1:11">
      <c r="A205" s="147"/>
    </row>
    <row r="206" spans="1:11">
      <c r="A206" s="147"/>
    </row>
    <row r="207" spans="1:11">
      <c r="A207" s="147"/>
    </row>
    <row r="208" spans="1:11">
      <c r="A208" s="147"/>
    </row>
    <row r="209" spans="1:1">
      <c r="A209" s="147"/>
    </row>
    <row r="210" spans="1:1">
      <c r="A210" s="147"/>
    </row>
    <row r="211" spans="1:1">
      <c r="A211" s="147"/>
    </row>
    <row r="212" spans="1:1">
      <c r="A212" s="147"/>
    </row>
    <row r="213" spans="1:1">
      <c r="A213" s="147"/>
    </row>
    <row r="214" spans="1:1">
      <c r="A214" s="147"/>
    </row>
    <row r="215" spans="1:1">
      <c r="A215" s="147"/>
    </row>
    <row r="216" spans="1:1">
      <c r="A216" s="147"/>
    </row>
    <row r="217" spans="1:1">
      <c r="A217" s="147"/>
    </row>
    <row r="218" spans="1:1">
      <c r="A218" s="147"/>
    </row>
    <row r="219" spans="1:1">
      <c r="A219" s="147"/>
    </row>
    <row r="220" spans="1:1">
      <c r="A220" s="147"/>
    </row>
    <row r="221" spans="1:1">
      <c r="A221" s="147"/>
    </row>
    <row r="222" spans="1:1">
      <c r="A222" s="147"/>
    </row>
    <row r="223" spans="1:1">
      <c r="A223" s="147"/>
    </row>
    <row r="224" spans="1:1">
      <c r="A224" s="147"/>
    </row>
    <row r="225" spans="1:1">
      <c r="A225" s="147"/>
    </row>
    <row r="226" spans="1:1">
      <c r="A226" s="147"/>
    </row>
    <row r="227" spans="1:1">
      <c r="A227" s="147"/>
    </row>
    <row r="228" spans="1:1">
      <c r="A228" s="147"/>
    </row>
    <row r="229" spans="1:1">
      <c r="A229" s="147"/>
    </row>
    <row r="230" spans="1:1">
      <c r="A230" s="147"/>
    </row>
    <row r="231" spans="1:1">
      <c r="A231" s="147"/>
    </row>
    <row r="232" spans="1:1">
      <c r="A232" s="147"/>
    </row>
    <row r="233" spans="1:1">
      <c r="A233" s="147"/>
    </row>
  </sheetData>
  <sheetProtection algorithmName="SHA-512" hashValue="vc7KZsMtURKUNnSmQvULQwK6Z1vZpeuI9h4/4f5OVs88YxCVcFewheIFzaxw2eUKsSXSrUB+9uSUv1s0rJMYWA==" saltValue="DSiYOk8xGZbao3QidqGPUQ==" spinCount="100000" sheet="1" selectLockedCells="1"/>
  <mergeCells count="7">
    <mergeCell ref="A190:J190"/>
    <mergeCell ref="A194:J194"/>
    <mergeCell ref="A3:J3"/>
    <mergeCell ref="A78:J78"/>
    <mergeCell ref="A110:J110"/>
    <mergeCell ref="A128:J128"/>
    <mergeCell ref="A154:J154"/>
  </mergeCells>
  <conditionalFormatting sqref="C132:E134">
    <cfRule type="expression" dxfId="71" priority="31">
      <formula>$E132&lt;&gt;"Yes"</formula>
    </cfRule>
  </conditionalFormatting>
  <conditionalFormatting sqref="C146:E147">
    <cfRule type="expression" dxfId="70" priority="80">
      <formula>$E146&lt;&gt;"Yes"</formula>
    </cfRule>
  </conditionalFormatting>
  <conditionalFormatting sqref="C172:E173">
    <cfRule type="expression" dxfId="69" priority="69">
      <formula>$E172&lt;&gt;"Yes"</formula>
    </cfRule>
  </conditionalFormatting>
  <conditionalFormatting sqref="C5:I199">
    <cfRule type="expression" dxfId="68" priority="2">
      <formula>$E5&lt;&gt;"Yes"</formula>
    </cfRule>
  </conditionalFormatting>
  <conditionalFormatting sqref="C28:I30">
    <cfRule type="expression" dxfId="67" priority="162">
      <formula>$F$24&lt;&gt;"Yes"</formula>
    </cfRule>
  </conditionalFormatting>
  <conditionalFormatting sqref="C31:I35">
    <cfRule type="expression" dxfId="66" priority="160">
      <formula>$F$25&lt;&gt;"Yes"</formula>
    </cfRule>
  </conditionalFormatting>
  <conditionalFormatting sqref="C44:I44 C45:G45">
    <cfRule type="expression" dxfId="65" priority="150">
      <formula>$F$41&lt;&gt;"Yes"</formula>
    </cfRule>
  </conditionalFormatting>
  <conditionalFormatting sqref="C51:I62">
    <cfRule type="expression" dxfId="64" priority="94">
      <formula>$E51&lt;&gt;"Yes"</formula>
    </cfRule>
  </conditionalFormatting>
  <conditionalFormatting sqref="C64:I65">
    <cfRule type="expression" dxfId="63" priority="149">
      <formula>$E64&lt;&gt;"Yes"</formula>
    </cfRule>
  </conditionalFormatting>
  <conditionalFormatting sqref="C101:I104">
    <cfRule type="expression" dxfId="62" priority="146">
      <formula>$E101&lt;&gt;"Yes"</formula>
    </cfRule>
  </conditionalFormatting>
  <conditionalFormatting sqref="C129:I139 C144:I153">
    <cfRule type="expression" dxfId="61" priority="33">
      <formula>$E129&lt;&gt;"Yes"</formula>
    </cfRule>
  </conditionalFormatting>
  <conditionalFormatting sqref="C141:I143">
    <cfRule type="expression" dxfId="60" priority="86">
      <formula>$E141&lt;&gt;"Yes"</formula>
    </cfRule>
  </conditionalFormatting>
  <conditionalFormatting sqref="C155:I189 C68:I77 C79:I99 C106:I109 C111:I127 C152:D152 F152:I152">
    <cfRule type="expression" dxfId="59" priority="132">
      <formula>$E68&lt;&gt;"Yes"</formula>
    </cfRule>
  </conditionalFormatting>
  <conditionalFormatting sqref="C195:I199 C192:I193">
    <cfRule type="expression" dxfId="58" priority="55">
      <formula>$E192&lt;&gt;"Yes"</formula>
    </cfRule>
  </conditionalFormatting>
  <conditionalFormatting sqref="C198:I198">
    <cfRule type="expression" dxfId="57" priority="52">
      <formula>$E198&lt;&gt;"Yes"</formula>
    </cfRule>
  </conditionalFormatting>
  <conditionalFormatting sqref="F132">
    <cfRule type="expression" dxfId="56" priority="136">
      <formula>$E132&lt;&gt;"Yes"</formula>
    </cfRule>
  </conditionalFormatting>
  <conditionalFormatting sqref="F146:I147">
    <cfRule type="expression" dxfId="55" priority="83">
      <formula>$E146&lt;&gt;"Yes"</formula>
    </cfRule>
  </conditionalFormatting>
  <conditionalFormatting sqref="F172:I173">
    <cfRule type="expression" dxfId="54" priority="71">
      <formula>$E172&lt;&gt;"Yes"</formula>
    </cfRule>
  </conditionalFormatting>
  <conditionalFormatting sqref="G65">
    <cfRule type="expression" dxfId="53" priority="1">
      <formula>$E65&lt;&gt;"Yes"</formula>
    </cfRule>
  </conditionalFormatting>
  <conditionalFormatting sqref="H23">
    <cfRule type="expression" dxfId="52" priority="169">
      <formula>#REF!="Please enter your comments"</formula>
    </cfRule>
  </conditionalFormatting>
  <conditionalFormatting sqref="H33">
    <cfRule type="expression" dxfId="51" priority="181">
      <formula>#REF!="Please enter your comments"</formula>
    </cfRule>
    <cfRule type="expression" dxfId="50" priority="182">
      <formula>$K33="Please enter your comments"</formula>
    </cfRule>
  </conditionalFormatting>
  <conditionalFormatting sqref="H38 H124">
    <cfRule type="expression" dxfId="49" priority="20">
      <formula>$K38="Please enter your comments"</formula>
    </cfRule>
  </conditionalFormatting>
  <conditionalFormatting sqref="H43">
    <cfRule type="expression" dxfId="48" priority="171">
      <formula>$K43="Please enter your comments"</formula>
    </cfRule>
  </conditionalFormatting>
  <conditionalFormatting sqref="H45">
    <cfRule type="expression" dxfId="47" priority="11">
      <formula>$K45="Please enter your comments"</formula>
    </cfRule>
  </conditionalFormatting>
  <conditionalFormatting sqref="H51">
    <cfRule type="expression" dxfId="46" priority="112">
      <formula>$K51="Please enter your comments"</formula>
    </cfRule>
  </conditionalFormatting>
  <conditionalFormatting sqref="H53">
    <cfRule type="expression" dxfId="45" priority="111">
      <formula>$K53="Please enter your comments"</formula>
    </cfRule>
  </conditionalFormatting>
  <conditionalFormatting sqref="H62">
    <cfRule type="expression" dxfId="44" priority="36">
      <formula>$K62="Please enter your comments"</formula>
    </cfRule>
  </conditionalFormatting>
  <conditionalFormatting sqref="H65">
    <cfRule type="expression" dxfId="43" priority="35">
      <formula>$K65="Please enter your comments"</formula>
    </cfRule>
  </conditionalFormatting>
  <conditionalFormatting sqref="H72">
    <cfRule type="expression" dxfId="42" priority="110">
      <formula>$K72="Please enter your comments"</formula>
    </cfRule>
  </conditionalFormatting>
  <conditionalFormatting sqref="H77 H59 H9 H14 H18:H20 H23 H27">
    <cfRule type="expression" dxfId="41" priority="174">
      <formula>$K9="Please enter your comments"</formula>
    </cfRule>
  </conditionalFormatting>
  <conditionalFormatting sqref="H84">
    <cfRule type="expression" dxfId="40" priority="108">
      <formula>$K84="Please enter your comments"</formula>
    </cfRule>
  </conditionalFormatting>
  <conditionalFormatting sqref="H86">
    <cfRule type="expression" dxfId="39" priority="107">
      <formula>$K86="Please enter your comments"</formula>
    </cfRule>
  </conditionalFormatting>
  <conditionalFormatting sqref="H88">
    <cfRule type="expression" dxfId="38" priority="106">
      <formula>$K88="Please enter your comments"</formula>
    </cfRule>
  </conditionalFormatting>
  <conditionalFormatting sqref="H92">
    <cfRule type="expression" dxfId="37" priority="105">
      <formula>$K92="Please enter your comments"</formula>
    </cfRule>
  </conditionalFormatting>
  <conditionalFormatting sqref="H94">
    <cfRule type="expression" dxfId="36" priority="140">
      <formula>$K94="Please enter your comments"</formula>
    </cfRule>
  </conditionalFormatting>
  <conditionalFormatting sqref="H97">
    <cfRule type="expression" dxfId="35" priority="104">
      <formula>$K97="Please enter your comments"</formula>
    </cfRule>
  </conditionalFormatting>
  <conditionalFormatting sqref="H99">
    <cfRule type="expression" dxfId="34" priority="103">
      <formula>$K99="Please enter your comments"</formula>
    </cfRule>
  </conditionalFormatting>
  <conditionalFormatting sqref="H103">
    <cfRule type="expression" dxfId="33" priority="139">
      <formula>$K103="Please enter your comments"</formula>
    </cfRule>
  </conditionalFormatting>
  <conditionalFormatting sqref="H109">
    <cfRule type="expression" dxfId="32" priority="102">
      <formula>$K109="Please enter your comments"</formula>
    </cfRule>
  </conditionalFormatting>
  <conditionalFormatting sqref="H113">
    <cfRule type="expression" dxfId="31" priority="92">
      <formula>$K113="Please enter your comments"</formula>
    </cfRule>
  </conditionalFormatting>
  <conditionalFormatting sqref="H116">
    <cfRule type="expression" dxfId="30" priority="91">
      <formula>$K116="Please enter your comments"</formula>
    </cfRule>
  </conditionalFormatting>
  <conditionalFormatting sqref="H119">
    <cfRule type="expression" dxfId="29" priority="89">
      <formula>$K119="Please enter your comments"</formula>
    </cfRule>
  </conditionalFormatting>
  <conditionalFormatting sqref="H126">
    <cfRule type="expression" dxfId="28" priority="138">
      <formula>$K126="Please enter your comments"</formula>
    </cfRule>
  </conditionalFormatting>
  <conditionalFormatting sqref="H131">
    <cfRule type="expression" dxfId="27" priority="134">
      <formula>$K131="Please enter your comments"</formula>
    </cfRule>
  </conditionalFormatting>
  <conditionalFormatting sqref="H134">
    <cfRule type="expression" dxfId="26" priority="135">
      <formula>$K134="Please enter your comments"</formula>
    </cfRule>
  </conditionalFormatting>
  <conditionalFormatting sqref="H136:H137">
    <cfRule type="expression" dxfId="25" priority="88">
      <formula>$K136="Please enter your comments"</formula>
    </cfRule>
  </conditionalFormatting>
  <conditionalFormatting sqref="H139">
    <cfRule type="expression" dxfId="24" priority="87">
      <formula>$K139="Please enter your comments"</formula>
    </cfRule>
  </conditionalFormatting>
  <conditionalFormatting sqref="H142">
    <cfRule type="expression" dxfId="23" priority="85">
      <formula>$K142="Please enter your comments"</formula>
    </cfRule>
  </conditionalFormatting>
  <conditionalFormatting sqref="H145">
    <cfRule type="expression" dxfId="22" priority="84">
      <formula>$K145="Please enter your comments"</formula>
    </cfRule>
  </conditionalFormatting>
  <conditionalFormatting sqref="H147">
    <cfRule type="expression" dxfId="21" priority="82">
      <formula>$K147="Please enter your comments"</formula>
    </cfRule>
  </conditionalFormatting>
  <conditionalFormatting sqref="H149">
    <cfRule type="expression" dxfId="20" priority="79">
      <formula>$K149="Please enter your comments"</formula>
    </cfRule>
  </conditionalFormatting>
  <conditionalFormatting sqref="H151">
    <cfRule type="expression" dxfId="19" priority="78">
      <formula>$K151="Please enter your comments"</formula>
    </cfRule>
  </conditionalFormatting>
  <conditionalFormatting sqref="H153">
    <cfRule type="expression" dxfId="18" priority="77">
      <formula>$K153="Please enter your comments"</formula>
    </cfRule>
  </conditionalFormatting>
  <conditionalFormatting sqref="H156">
    <cfRule type="expression" dxfId="17" priority="130">
      <formula>$K156="Please enter your comments"</formula>
    </cfRule>
  </conditionalFormatting>
  <conditionalFormatting sqref="H160">
    <cfRule type="expression" dxfId="16" priority="76">
      <formula>$K160="Please enter your comments"</formula>
    </cfRule>
  </conditionalFormatting>
  <conditionalFormatting sqref="H162">
    <cfRule type="expression" dxfId="15" priority="75">
      <formula>$K162="Please enter your comments"</formula>
    </cfRule>
  </conditionalFormatting>
  <conditionalFormatting sqref="H164">
    <cfRule type="expression" dxfId="14" priority="74">
      <formula>$K164="Please enter your comments"</formula>
    </cfRule>
  </conditionalFormatting>
  <conditionalFormatting sqref="H166">
    <cfRule type="expression" dxfId="13" priority="73">
      <formula>$K166="Please enter your comments"</formula>
    </cfRule>
  </conditionalFormatting>
  <conditionalFormatting sqref="H168">
    <cfRule type="expression" dxfId="12" priority="72">
      <formula>$K168="Please enter your comments"</formula>
    </cfRule>
  </conditionalFormatting>
  <conditionalFormatting sqref="H173">
    <cfRule type="expression" dxfId="11" priority="70">
      <formula>$K173="Please enter your comments"</formula>
    </cfRule>
  </conditionalFormatting>
  <conditionalFormatting sqref="H176">
    <cfRule type="expression" dxfId="10" priority="68">
      <formula>$K176="Please enter your comments"</formula>
    </cfRule>
  </conditionalFormatting>
  <conditionalFormatting sqref="H180">
    <cfRule type="expression" dxfId="9" priority="66">
      <formula>$K180="Please enter your comments"</formula>
    </cfRule>
  </conditionalFormatting>
  <conditionalFormatting sqref="H183">
    <cfRule type="expression" dxfId="8" priority="65">
      <formula>$K183="Please enter your comments"</formula>
    </cfRule>
  </conditionalFormatting>
  <conditionalFormatting sqref="H186">
    <cfRule type="expression" dxfId="7" priority="64">
      <formula>$K186="Please enter your comments"</formula>
    </cfRule>
  </conditionalFormatting>
  <conditionalFormatting sqref="H188">
    <cfRule type="expression" dxfId="6" priority="58">
      <formula>$K188="Please enter your comments"</formula>
    </cfRule>
  </conditionalFormatting>
  <conditionalFormatting sqref="H193">
    <cfRule type="expression" dxfId="5" priority="56">
      <formula>$K193="Please enter your comments"</formula>
    </cfRule>
  </conditionalFormatting>
  <conditionalFormatting sqref="H196">
    <cfRule type="expression" dxfId="4" priority="54">
      <formula>$K196="Please enter your comments"</formula>
    </cfRule>
  </conditionalFormatting>
  <conditionalFormatting sqref="H199">
    <cfRule type="expression" dxfId="3" priority="53">
      <formula>$K199="Please enter your comments"</formula>
    </cfRule>
  </conditionalFormatting>
  <dataValidations count="2">
    <dataValidation type="list" allowBlank="1" showInputMessage="1" showErrorMessage="1" errorTitle="Alert!" error="Only select from the dropdown" sqref="F129:F153 F191:F193 F195:F199 F5:F45 F155:F189 F111:F127 F79:F109 F47:F77" xr:uid="{04B9C591-EF14-4896-B82A-2BCC34F7C871}">
      <formula1>"Yes,No,NA"</formula1>
    </dataValidation>
    <dataValidation type="list" allowBlank="1" showInputMessage="1" showErrorMessage="1" errorTitle="Alert!" error="Only select from the dropdown" sqref="F46" xr:uid="{FC5B30CE-F73F-44C8-A268-DF906BFA3510}">
      <formula1>"Yes,No"</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3508-1653-441F-8F8D-23CBCA939C07}">
  <dimension ref="A1:C70"/>
  <sheetViews>
    <sheetView workbookViewId="0">
      <selection activeCell="E8" sqref="E8"/>
    </sheetView>
  </sheetViews>
  <sheetFormatPr defaultRowHeight="15"/>
  <cols>
    <col min="1" max="1" width="32.7109375" style="12" customWidth="1"/>
    <col min="2" max="2" width="30.85546875" style="12" customWidth="1"/>
    <col min="3" max="3" width="18.28515625" style="86" customWidth="1"/>
    <col min="4" max="4" width="9.140625" style="12"/>
    <col min="5" max="5" width="27.28515625" style="12" customWidth="1"/>
    <col min="6" max="6" width="22.42578125" style="12" customWidth="1"/>
    <col min="7" max="16384" width="9.140625" style="12"/>
  </cols>
  <sheetData>
    <row r="1" spans="1:3">
      <c r="A1" s="152" t="s">
        <v>23</v>
      </c>
      <c r="B1" s="153">
        <f>'Asset Info'!B2</f>
        <v>0</v>
      </c>
    </row>
    <row r="2" spans="1:3">
      <c r="A2" s="152" t="s">
        <v>227</v>
      </c>
      <c r="B2" s="154" t="str">
        <f ca="1">IF(COUNTIF(C10:C69,"Not Approved")&gt;0,"Not Cleared","Cleared")</f>
        <v>Not Cleared</v>
      </c>
    </row>
    <row r="3" spans="1:3">
      <c r="A3" s="152" t="s">
        <v>228</v>
      </c>
      <c r="B3" s="155"/>
    </row>
    <row r="4" spans="1:3">
      <c r="A4" s="152" t="s">
        <v>229</v>
      </c>
      <c r="B4" s="91"/>
    </row>
    <row r="6" spans="1:3">
      <c r="A6" s="156" t="s">
        <v>230</v>
      </c>
      <c r="B6" s="222">
        <f ca="1">SUM(B7:B8)</f>
        <v>60</v>
      </c>
    </row>
    <row r="7" spans="1:3">
      <c r="A7" s="156" t="s">
        <v>231</v>
      </c>
      <c r="B7" s="222">
        <f ca="1">COUNTIF(C11:C70,"Approved")</f>
        <v>0</v>
      </c>
    </row>
    <row r="8" spans="1:3">
      <c r="A8" s="156" t="s">
        <v>232</v>
      </c>
      <c r="B8" s="222">
        <f ca="1">COUNTIF(C11:C70,"Not Approved")</f>
        <v>60</v>
      </c>
    </row>
    <row r="10" spans="1:3" ht="21" customHeight="1">
      <c r="A10" s="152" t="s">
        <v>233</v>
      </c>
      <c r="B10" s="152" t="s">
        <v>234</v>
      </c>
      <c r="C10" s="152" t="s">
        <v>235</v>
      </c>
    </row>
    <row r="11" spans="1:3">
      <c r="A11" s="157" t="s">
        <v>32</v>
      </c>
      <c r="B11" s="17" t="s">
        <v>236</v>
      </c>
      <c r="C11" s="70" t="str">
        <f ca="1">IF(COUNTIF(Checklist!J5:'Checklist'!J20,"NA")&gt;0,"Not Applicable",IF(COUNTIF(Checklist!J5:'Checklist'!J20,"Y")&gt;0,"Approved","Not Approved"))</f>
        <v>Not Approved</v>
      </c>
    </row>
    <row r="12" spans="1:3" ht="12.75" customHeight="1">
      <c r="A12" s="255"/>
      <c r="B12" s="36" t="s">
        <v>61</v>
      </c>
      <c r="C12" s="70" t="str">
        <f ca="1">IF(COUNTIF(Checklist!J21:'Checklist'!J23,"NA")&gt;0,"Not Applicable",IF(COUNTIF(Checklist!J21:'Checklist'!J23,"Y")&gt;0,"Approved","Not Approved"))</f>
        <v>Not Approved</v>
      </c>
    </row>
    <row r="13" spans="1:3" ht="15" customHeight="1">
      <c r="A13" s="255"/>
      <c r="B13" s="36" t="s">
        <v>64</v>
      </c>
      <c r="C13" s="70" t="str">
        <f ca="1">IF(COUNTIF(Checklist!J24:'Checklist'!J35,"NA")&gt;0,"Not Applicable",IF(COUNTIF(Checklist!J24:'Checklist'!J35,"Y")&gt;0,"Approved","Not Approved"))</f>
        <v>Not Approved</v>
      </c>
    </row>
    <row r="14" spans="1:3" ht="16.5" customHeight="1">
      <c r="A14" s="255"/>
      <c r="B14" s="88" t="s">
        <v>76</v>
      </c>
      <c r="C14" s="70" t="str">
        <f ca="1">IF(COUNTIF(Checklist!J36:'Checklist'!J38,"NA")&gt;0,"Not Applicable",IF(COUNTIF(Checklist!J36:'Checklist'!J38,"Y")&gt;0,"Approved","Not Approved"))</f>
        <v>Not Approved</v>
      </c>
    </row>
    <row r="15" spans="1:3" ht="25.5" customHeight="1">
      <c r="A15" s="255"/>
      <c r="B15" s="88" t="s">
        <v>77</v>
      </c>
      <c r="C15" s="71" t="str">
        <f ca="1">IF(COUNTIF(Checklist!J39:'Checklist'!J40,"NA")&gt;0,"Not Applicable",IF(COUNTIF(Checklist!J39:'Checklist'!J40,"Y")&gt;0,"Approved","Not Approved"))</f>
        <v>Not Approved</v>
      </c>
    </row>
    <row r="16" spans="1:3" ht="15" customHeight="1">
      <c r="A16" s="255"/>
      <c r="B16" s="89" t="s">
        <v>78</v>
      </c>
      <c r="C16" s="77" t="str">
        <f ca="1">IF(COUNTIF(Checklist!J41:'Checklist'!J45,"NA")&gt;0,"Not Applicable",IF(COUNTIF(Checklist!J41:'Checklist'!J45,"Y")&gt;0,"Approved","Not Approved"))</f>
        <v>Not Approved</v>
      </c>
    </row>
    <row r="17" spans="1:3" ht="24">
      <c r="A17" s="255"/>
      <c r="B17" s="90" t="s">
        <v>81</v>
      </c>
      <c r="C17" s="78" t="str">
        <f ca="1">IF(COUNTIF(Checklist!J46:'Checklist'!J48,"NA")&gt;0,"Not Applicable",IF(COUNTIF(Checklist!J46:'Checklist'!J48,"Y")&gt;0,"Approved","Not Approved"))</f>
        <v>Not Approved</v>
      </c>
    </row>
    <row r="18" spans="1:3" ht="12.75" customHeight="1">
      <c r="A18" s="255"/>
      <c r="B18" s="44" t="s">
        <v>85</v>
      </c>
      <c r="C18" s="70" t="str">
        <f ca="1">IF(COUNTIF(Checklist!J49:'Checklist'!J51,"NA")&gt;0,"Not Applicable",IF(COUNTIF(Checklist!J49:'Checklist'!J51,"Y")&gt;0,"Approved","Not Approved"))</f>
        <v>Not Approved</v>
      </c>
    </row>
    <row r="19" spans="1:3" ht="26.25" customHeight="1">
      <c r="A19" s="255"/>
      <c r="B19" s="58" t="s">
        <v>88</v>
      </c>
      <c r="C19" s="78" t="str">
        <f ca="1">IF(COUNTIF(Checklist!J52:'Checklist'!J53,"NA")&gt;0,"Not Applicable",IF(COUNTIF(Checklist!J52:'Checklist'!J53,"Y")&gt;0,"Approved","Not Approved"))</f>
        <v>Not Approved</v>
      </c>
    </row>
    <row r="20" spans="1:3" ht="15.75" customHeight="1">
      <c r="A20" s="255"/>
      <c r="B20" s="56" t="s">
        <v>90</v>
      </c>
      <c r="C20" s="78" t="str">
        <f ca="1">IF(COUNTIF(Checklist!J54:'Checklist'!J59,"NA")&gt;0,"Not Applicable",IF(COUNTIF(Checklist!J54:'Checklist'!J59,"Y")&gt;0,"Approved","Not Approved"))</f>
        <v>Not Approved</v>
      </c>
    </row>
    <row r="21" spans="1:3" ht="15" customHeight="1">
      <c r="A21" s="255"/>
      <c r="B21" s="100" t="s">
        <v>96</v>
      </c>
      <c r="C21" s="78" t="str">
        <f ca="1">IF(COUNTIF(Checklist!J60:'Checklist'!J62,"NA")&gt;0,"Not Applicable",IF(COUNTIF(Checklist!J60:'Checklist'!J62,"Y")&gt;0,"Approved","Not Approved"))</f>
        <v>Not Approved</v>
      </c>
    </row>
    <row r="22" spans="1:3" ht="14.25" customHeight="1">
      <c r="A22" s="255"/>
      <c r="B22" s="92" t="s">
        <v>99</v>
      </c>
      <c r="C22" s="78" t="str">
        <f ca="1">IF(COUNTIF(Checklist!J63:'Checklist'!J65,"NA")&gt;0,"Not Applicable",IF(COUNTIF(Checklist!J63:'Checklist'!J65,"Y")&gt;0,"Approved","Not Approved"))</f>
        <v>Not Approved</v>
      </c>
    </row>
    <row r="23" spans="1:3" ht="16.5" customHeight="1">
      <c r="A23" s="255"/>
      <c r="B23" s="92" t="s">
        <v>102</v>
      </c>
      <c r="C23" s="70" t="str">
        <f ca="1">IF(COUNTIF(Checklist!J66:'Checklist'!J70,"NA")&gt;0,"Not Applicable",IF(COUNTIF(Checklist!J66:'Checklist'!J70,"Y")&gt;0,"Approved","Not Approved"))</f>
        <v>Not Approved</v>
      </c>
    </row>
    <row r="24" spans="1:3" ht="15.75" customHeight="1">
      <c r="A24" s="255"/>
      <c r="B24" s="44" t="s">
        <v>107</v>
      </c>
      <c r="C24" s="70" t="str">
        <f ca="1">IF(COUNTIF(Checklist!J71:'Checklist'!J75,"NA")&gt;0,"Not Applicable",IF(COUNTIF(Checklist!J71:'Checklist'!J75,"Y")&gt;0,"Approved","Not Approved"))</f>
        <v>Not Approved</v>
      </c>
    </row>
    <row r="25" spans="1:3" ht="18.75" customHeight="1">
      <c r="A25" s="256"/>
      <c r="B25" s="92" t="s">
        <v>113</v>
      </c>
      <c r="C25" s="70" t="str">
        <f ca="1">IF(COUNTIF(Checklist!J76:'Checklist'!J77,"NA")&gt;0,"Not Applicable",IF(COUNTIF(Checklist!J76:'Checklist'!J77,"Y")&gt;0,"Approved","Not Approved"))</f>
        <v>Not Approved</v>
      </c>
    </row>
    <row r="26" spans="1:3" ht="24">
      <c r="A26" s="257" t="s">
        <v>115</v>
      </c>
      <c r="B26" s="44" t="s">
        <v>116</v>
      </c>
      <c r="C26" s="70" t="str">
        <f ca="1">IF(COUNTIF(Checklist!J79:'Checklist'!J82,"NA")&gt;0,"Not Applicable",IF(COUNTIF(Checklist!J79:'Checklist'!J82,"Y")&gt;0,"Approved","Not Approved"))</f>
        <v>Not Approved</v>
      </c>
    </row>
    <row r="27" spans="1:3" ht="24">
      <c r="A27" s="258"/>
      <c r="B27" s="44" t="s">
        <v>120</v>
      </c>
      <c r="C27" s="70" t="str">
        <f ca="1">IF(COUNTIF(Checklist!J83:'Checklist'!J84,"NA")&gt;0,"Not Applicable",IF(COUNTIF(Checklist!J83:'Checklist'!J84,"Y")&gt;0,"Approved","Not Approved"))</f>
        <v>Not Approved</v>
      </c>
    </row>
    <row r="28" spans="1:3" ht="24">
      <c r="A28" s="258"/>
      <c r="B28" s="44" t="s">
        <v>121</v>
      </c>
      <c r="C28" s="70" t="str">
        <f ca="1">IF(COUNTIF(Checklist!J85:'Checklist'!J86,"NA")&gt;0,"Not Applicable",IF(COUNTIF(Checklist!J85:'Checklist'!J86,"Y")&gt;0,"Approved","Not Approved"))</f>
        <v>Not Approved</v>
      </c>
    </row>
    <row r="29" spans="1:3">
      <c r="A29" s="258"/>
      <c r="B29" s="44" t="s">
        <v>123</v>
      </c>
      <c r="C29" s="79" t="str">
        <f ca="1">IF(COUNTIF(Checklist!J87:'Checklist'!J89,"NA")&gt;0,"Not Applicable",IF(COUNTIF(Checklist!J87:'Checklist'!J89,"Y")&gt;0,"Approved","Not Approved"))</f>
        <v>Not Approved</v>
      </c>
    </row>
    <row r="30" spans="1:3">
      <c r="A30" s="258"/>
      <c r="B30" s="44" t="s">
        <v>126</v>
      </c>
      <c r="C30" s="79" t="str">
        <f ca="1">IF(COUNTIF(Checklist!J90:'Checklist'!J92,"NA")&gt;0,"Not Applicable",IF(COUNTIF(Checklist!J90:'Checklist'!J92,"Y")&gt;0,"Approved","Not Approved"))</f>
        <v>Not Approved</v>
      </c>
    </row>
    <row r="31" spans="1:3">
      <c r="A31" s="258"/>
      <c r="B31" s="92" t="s">
        <v>128</v>
      </c>
      <c r="C31" s="79" t="str">
        <f ca="1">IF(COUNTIF(Checklist!J93:'Checklist'!J95,"NA")&gt;0,"Not Applicable",IF(COUNTIF(Checklist!J93:'Checklist'!J95,"Y")&gt;0,"Approved","Not Approved"))</f>
        <v>Not Approved</v>
      </c>
    </row>
    <row r="32" spans="1:3">
      <c r="A32" s="258"/>
      <c r="B32" s="44" t="s">
        <v>131</v>
      </c>
      <c r="C32" s="79" t="str">
        <f ca="1">IF(COUNTIF(Checklist!J96:'Checklist'!J97,"NA")&gt;0,"Not Applicable",IF(COUNTIF(Checklist!J96:'Checklist'!J97,"Y")&gt;0,"Approved","Not Approved"))</f>
        <v>Not Approved</v>
      </c>
    </row>
    <row r="33" spans="1:3">
      <c r="A33" s="258"/>
      <c r="B33" s="48" t="s">
        <v>133</v>
      </c>
      <c r="C33" s="79" t="str">
        <f ca="1">IF(COUNTIF(Checklist!J98:'Checklist'!J99,"NA")&gt;0,"Not Applicable",IF(COUNTIF(Checklist!J98:'Checklist'!J99,"Y")&gt;0,"Approved","Not Approved"))</f>
        <v>Not Approved</v>
      </c>
    </row>
    <row r="34" spans="1:3">
      <c r="A34" s="258"/>
      <c r="B34" s="48" t="s">
        <v>135</v>
      </c>
      <c r="C34" s="79" t="str">
        <f ca="1">IF(COUNTIF(Checklist!J100:'Checklist'!J104,"NA")&gt;0,"Not Applicable",IF(COUNTIF(Checklist!J100:'Checklist'!J104,"Y")&gt;0,"Approved","Not Approved"))</f>
        <v>Not Approved</v>
      </c>
    </row>
    <row r="35" spans="1:3">
      <c r="A35" s="258"/>
      <c r="B35" s="93" t="s">
        <v>139</v>
      </c>
      <c r="C35" s="79" t="str">
        <f ca="1">IF(COUNTIF(Checklist!J105:'Checklist'!J107,"NA")&gt;0,"Not Applicable",IF(COUNTIF(Checklist!J105:'Checklist'!J107,"Y")&gt;0,"Approved","Not Approved"))</f>
        <v>Not Approved</v>
      </c>
    </row>
    <row r="36" spans="1:3">
      <c r="A36" s="258"/>
      <c r="B36" s="94" t="s">
        <v>142</v>
      </c>
      <c r="C36" s="79" t="str">
        <f ca="1">IF(COUNTIF(Checklist!J108:'Checklist'!J109,"NA")&gt;0,"Not Applicable",IF(COUNTIF(Checklist!J108:'Checklist'!J109,"Y")&gt;0,"Approved","Not Approved"))</f>
        <v>Not Approved</v>
      </c>
    </row>
    <row r="37" spans="1:3">
      <c r="A37" s="253" t="s">
        <v>144</v>
      </c>
      <c r="B37" s="58" t="s">
        <v>145</v>
      </c>
      <c r="C37" s="67" t="str">
        <f ca="1">IF(COUNTIF(Checklist!J111:'Checklist'!J113,"NA")&gt;0,"Not Applicable",IF(COUNTIF(Checklist!J111:'Checklist'!J113,"Y")&gt;0,"Approved","Not Approved"))</f>
        <v>Not Approved</v>
      </c>
    </row>
    <row r="38" spans="1:3" ht="24">
      <c r="A38" s="259"/>
      <c r="B38" s="95" t="s">
        <v>147</v>
      </c>
      <c r="C38" s="67" t="str">
        <f ca="1">IF(COUNTIF(Checklist!J114:'Checklist'!J116,"NA")&gt;0,"Not Applicable",IF(COUNTIF(Checklist!J114:'Checklist'!J116,"Y")&gt;0,"Approved","Not Approved"))</f>
        <v>Not Approved</v>
      </c>
    </row>
    <row r="39" spans="1:3" ht="36">
      <c r="A39" s="259"/>
      <c r="B39" s="96" t="s">
        <v>150</v>
      </c>
      <c r="C39" s="67" t="str">
        <f ca="1">IF(COUNTIF(Checklist!J117:'Checklist'!J117,"NA")&gt;0,"Not Applicable",IF(COUNTIF(Checklist!J117:'Checklist'!J117,"Y")&gt;0,"Approved","Not Approved"))</f>
        <v>Not Approved</v>
      </c>
    </row>
    <row r="40" spans="1:3">
      <c r="A40" s="259"/>
      <c r="B40" s="95" t="s">
        <v>151</v>
      </c>
      <c r="C40" s="67" t="str">
        <f ca="1">IF(COUNTIF(Checklist!J118:'Checklist'!J119,"NA")&gt;0,"Not Applicable",IF(COUNTIF(Checklist!J118:'Checklist'!J119,"Y")&gt;0,"Approved","Not Approved"))</f>
        <v>Not Approved</v>
      </c>
    </row>
    <row r="41" spans="1:3">
      <c r="A41" s="259"/>
      <c r="B41" s="52" t="s">
        <v>153</v>
      </c>
      <c r="C41" s="78" t="str">
        <f ca="1">IF(COUNTIF(Checklist!J120:'Checklist'!J121,"NA")&gt;0,"Not Applicable",IF(COUNTIF(Checklist!J120:'Checklist'!J121,"Y")&gt;0,"Approved","Not Approved"))</f>
        <v>Not Approved</v>
      </c>
    </row>
    <row r="42" spans="1:3">
      <c r="A42" s="259"/>
      <c r="B42" s="97" t="s">
        <v>237</v>
      </c>
      <c r="C42" s="78" t="str">
        <f ca="1">IF(COUNTIF(Checklist!J1122:'Checklist'!J75,"NA")&gt;0,"Not Applicable",IF(COUNTIF(Checklist!J122:'Checklist'!J124,"Y")&gt;0,"Approved","Not Approved"))</f>
        <v>Not Approved</v>
      </c>
    </row>
    <row r="43" spans="1:3">
      <c r="A43" s="259"/>
      <c r="B43" s="98" t="s">
        <v>158</v>
      </c>
      <c r="C43" s="78" t="str">
        <f ca="1">IF(COUNTIF(Checklist!J125:'Checklist'!J127,"NA")&gt;0,"Not Applicable",IF(COUNTIF(Checklist!J125:'Checklist'!J127,"Y")&gt;0,"Approved","Not Approved"))</f>
        <v>Not Approved</v>
      </c>
    </row>
    <row r="44" spans="1:3">
      <c r="A44" s="253" t="s">
        <v>160</v>
      </c>
      <c r="B44" s="58" t="s">
        <v>161</v>
      </c>
      <c r="C44" s="80" t="str">
        <f>IF(Checklist!J129="Y","Approved",IF(Checklist!J129="NA","Not Applicable","Not Approved"))</f>
        <v>Not Approved</v>
      </c>
    </row>
    <row r="45" spans="1:3">
      <c r="A45" s="259"/>
      <c r="B45" s="36" t="s">
        <v>162</v>
      </c>
      <c r="C45" s="149" t="str">
        <f ca="1">IF(COUNTIF(Checklist!J130:'Checklist'!J134,"NA")&gt;0,"Not Applicable",IF(COUNTIF(Checklist!J130:'Checklist'!J134,"Y")&gt;0,"Approved","Not Approved"))</f>
        <v>Not Approved</v>
      </c>
    </row>
    <row r="46" spans="1:3">
      <c r="A46" s="259"/>
      <c r="B46" s="99" t="s">
        <v>166</v>
      </c>
      <c r="C46" s="81" t="str">
        <f ca="1">IF(COUNTIF(Checklist!J135:'Checklist'!J137,"NA")&gt;0,"Not Applicable",IF(COUNTIF(Checklist!J135:'Checklist'!J137,"Y")&gt;0,"Approved","Not Approved"))</f>
        <v>Not Approved</v>
      </c>
    </row>
    <row r="47" spans="1:3">
      <c r="A47" s="259"/>
      <c r="B47" s="99" t="s">
        <v>169</v>
      </c>
      <c r="C47" s="81" t="str">
        <f ca="1">IF(COUNTIF(Checklist!J138:'Checklist'!J139,"NA")&gt;0,"Not Applicable",IF(COUNTIF(Checklist!J138:'Checklist'!J139,"Y")&gt;0,"Approved","Not Approved"))</f>
        <v>Not Approved</v>
      </c>
    </row>
    <row r="48" spans="1:3">
      <c r="A48" s="259"/>
      <c r="B48" s="100" t="s">
        <v>171</v>
      </c>
      <c r="C48" s="82" t="str">
        <f ca="1">IF(COUNTIF(Checklist!J140:'Checklist'!J143,"NA")&gt;0,"Not Applicable",IF(COUNTIF(Checklist!J140:'Checklist'!J143,"Y")&gt;0,"Approved","Not Approved"))</f>
        <v>Not Approved</v>
      </c>
    </row>
    <row r="49" spans="1:3">
      <c r="A49" s="259"/>
      <c r="B49" s="56" t="s">
        <v>175</v>
      </c>
      <c r="C49" s="83" t="str">
        <f ca="1">IF(COUNTIF(Checklist!J144:'Checklist'!J147,"NA")&gt;0,"Not Applicable",IF(COUNTIF(Checklist!J144:'Checklist'!J147,"Y")&gt;0,"Approved","Not Approved"))</f>
        <v>Not Approved</v>
      </c>
    </row>
    <row r="50" spans="1:3">
      <c r="A50" s="259"/>
      <c r="B50" s="44" t="s">
        <v>178</v>
      </c>
      <c r="C50" s="83" t="str">
        <f ca="1">IF(COUNTIF(Checklist!J148:'Checklist'!J149,"NA")&gt;0,"Not Applicable",IF(COUNTIF(Checklist!J148:'Checklist'!J149,"Y")&gt;0,"Approved","Not Approved"))</f>
        <v>Not Approved</v>
      </c>
    </row>
    <row r="51" spans="1:3">
      <c r="A51" s="259"/>
      <c r="B51" s="44" t="s">
        <v>180</v>
      </c>
      <c r="C51" s="83" t="str">
        <f ca="1">IF(COUNTIF(Checklist!J150:'Checklist'!J151,"NA")&gt;0,"Not Applicable",IF(COUNTIF(Checklist!J150:'Checklist'!J151,"Y")&gt;0,"Approved","Not Approved"))</f>
        <v>Not Approved</v>
      </c>
    </row>
    <row r="52" spans="1:3">
      <c r="A52" s="254"/>
      <c r="B52" s="92" t="s">
        <v>181</v>
      </c>
      <c r="C52" s="83" t="str">
        <f ca="1">IF(COUNTIF(Checklist!J152:'Checklist'!J153,"NA")&gt;0,"Not Applicable",IF(COUNTIF(Checklist!J152:'Checklist'!J153,"Y")&gt;0,"Approved","Not Approved"))</f>
        <v>Not Approved</v>
      </c>
    </row>
    <row r="53" spans="1:3" ht="24">
      <c r="A53" s="253" t="s">
        <v>183</v>
      </c>
      <c r="B53" s="58" t="s">
        <v>184</v>
      </c>
      <c r="C53" s="83" t="str">
        <f ca="1">IF(COUNTIF(Checklist!J155:'Checklist'!J157,"NA")&gt;0,"Not Applicable",IF(COUNTIF(Checklist!J155:'Checklist'!J157,"Y")&gt;0,"Approved","Not Approved"))</f>
        <v>Not Approved</v>
      </c>
    </row>
    <row r="54" spans="1:3" ht="24">
      <c r="A54" s="259"/>
      <c r="B54" s="44" t="s">
        <v>187</v>
      </c>
      <c r="C54" s="84" t="str">
        <f>IF(Checklist!J158="Y","Approved",IF(Checklist!J158="NA","Not Applicable","Not Approved"))</f>
        <v>Not Approved</v>
      </c>
    </row>
    <row r="55" spans="1:3">
      <c r="A55" s="259"/>
      <c r="B55" s="44" t="s">
        <v>188</v>
      </c>
      <c r="C55" s="83" t="str">
        <f ca="1">IF(COUNTIF(Checklist!J159:'Checklist'!J160,"NA")&gt;0,"Not Applicable",IF(COUNTIF(Checklist!J159:'Checklist'!J160,"Y")&gt;0,"Approved","Not Approved"))</f>
        <v>Not Approved</v>
      </c>
    </row>
    <row r="56" spans="1:3">
      <c r="A56" s="259"/>
      <c r="B56" s="44" t="s">
        <v>189</v>
      </c>
      <c r="C56" s="83" t="str">
        <f ca="1">IF(COUNTIF(Checklist!J161:'Checklist'!J162,"NA")&gt;0,"Not Applicable",IF(COUNTIF(Checklist!J161:'Checklist'!J162,"Y")&gt;0,"Approved","Not Approved"))</f>
        <v>Not Approved</v>
      </c>
    </row>
    <row r="57" spans="1:3">
      <c r="A57" s="259"/>
      <c r="B57" s="44" t="s">
        <v>191</v>
      </c>
      <c r="C57" s="83" t="str">
        <f ca="1">IF(COUNTIF(Checklist!J163:'Checklist'!J164,"NA")&gt;0,"Not Applicable",IF(COUNTIF(Checklist!J163:'Checklist'!J164,"Y")&gt;0,"Approved","Not Approved"))</f>
        <v>Not Approved</v>
      </c>
    </row>
    <row r="58" spans="1:3">
      <c r="A58" s="259"/>
      <c r="B58" s="44" t="s">
        <v>193</v>
      </c>
      <c r="C58" s="83" t="str">
        <f ca="1">IF(COUNTIF(Checklist!J165:'Checklist'!J166,"NA")&gt;0,"Not Applicable",IF(COUNTIF(Checklist!J165:'Checklist'!J166,"Y")&gt;0,"Approved","Not Approved"))</f>
        <v>Not Approved</v>
      </c>
    </row>
    <row r="59" spans="1:3">
      <c r="A59" s="259"/>
      <c r="B59" s="44" t="s">
        <v>195</v>
      </c>
      <c r="C59" s="83" t="str">
        <f ca="1">IF(COUNTIF(Checklist!J167:'Checklist'!J169,"NA")&gt;0,"Not Applicable",IF(COUNTIF(Checklist!J167:'Checklist'!J169,"Y")&gt;0,"Approved","Not Approved"))</f>
        <v>Not Approved</v>
      </c>
    </row>
    <row r="60" spans="1:3">
      <c r="A60" s="259"/>
      <c r="B60" s="56" t="s">
        <v>198</v>
      </c>
      <c r="C60" s="84" t="str">
        <f ca="1">IF(COUNTIF(Checklist!J170:'Checklist'!J173,"NA")&gt;0,"Not Applicable",IF(COUNTIF(Checklist!J170:'Checklist'!J173,"Y")&gt;0,"Approved","Not Approved"))</f>
        <v>Not Approved</v>
      </c>
    </row>
    <row r="61" spans="1:3">
      <c r="A61" s="259"/>
      <c r="B61" s="56" t="s">
        <v>201</v>
      </c>
      <c r="C61" s="84" t="str">
        <f ca="1">IF(COUNTIF(Checklist!J174:'Checklist'!J176,"NA")&gt;0,"Not Applicable",IF(COUNTIF(Checklist!J174:'Checklist'!J176,"Y")&gt;0,"Approved","Not Approved"))</f>
        <v>Not Approved</v>
      </c>
    </row>
    <row r="62" spans="1:3">
      <c r="A62" s="259"/>
      <c r="B62" s="101" t="s">
        <v>203</v>
      </c>
      <c r="C62" s="84" t="str">
        <f>IF(Checklist!J177="Y","Approved",IF(Checklist!J177="NA","Not Applicable","Not Approved"))</f>
        <v>Not Approved</v>
      </c>
    </row>
    <row r="63" spans="1:3">
      <c r="A63" s="259"/>
      <c r="B63" s="56" t="s">
        <v>204</v>
      </c>
      <c r="C63" s="84" t="str">
        <f ca="1">IF(COUNTIF(Checklist!J178:'Checklist'!J180,"NA")&gt;0,"Not Applicable",IF(COUNTIF(Checklist!J178:'Checklist'!J180,"Y")&gt;0,"Approved","Not Approved"))</f>
        <v>Not Approved</v>
      </c>
    </row>
    <row r="64" spans="1:3">
      <c r="A64" s="259"/>
      <c r="B64" s="100" t="s">
        <v>207</v>
      </c>
      <c r="C64" s="84" t="str">
        <f ca="1">IF(COUNTIF(Checklist!J181:'Checklist'!J183,"NA")&gt;0,"Not Applicable",IF(COUNTIF(Checklist!J181:'Checklist'!J183,"Y")&gt;0,"Approved","Not Approved"))</f>
        <v>Not Approved</v>
      </c>
    </row>
    <row r="65" spans="1:3">
      <c r="A65" s="259"/>
      <c r="B65" s="44" t="s">
        <v>210</v>
      </c>
      <c r="C65" s="84" t="str">
        <f ca="1">IF(COUNTIF(Checklist!J184:'Checklist'!J186,"NA")&gt;0,"Not Applicable",IF(COUNTIF(Checklist!J184:'Checklist'!J186,"Y")&gt;0,"Approved","Not Approved"))</f>
        <v>Not Approved</v>
      </c>
    </row>
    <row r="66" spans="1:3">
      <c r="A66" s="259"/>
      <c r="B66" s="44" t="s">
        <v>213</v>
      </c>
      <c r="C66" s="84" t="str">
        <f ca="1">IF(COUNTIF(Checklist!J187:'Checklist'!J188,"NA")&gt;0,"Not Applicable",IF(COUNTIF(Checklist!J187:'Checklist'!J188,"Y")&gt;0,"Approved","Not Approved"))</f>
        <v>Not Approved</v>
      </c>
    </row>
    <row r="67" spans="1:3">
      <c r="A67" s="254"/>
      <c r="B67" s="44" t="s">
        <v>215</v>
      </c>
      <c r="C67" s="84" t="str">
        <f ca="1">IF(COUNTIF(Checklist!J189:'Checklist'!J189,"NA")&gt;0,"Not Applicable",IF(COUNTIF(Checklist!J189:'Checklist'!J189,"Y")&gt;0,"Approved","Not Approved"))</f>
        <v>Not Approved</v>
      </c>
    </row>
    <row r="68" spans="1:3">
      <c r="A68" s="158" t="s">
        <v>238</v>
      </c>
      <c r="B68" s="102" t="s">
        <v>218</v>
      </c>
      <c r="C68" s="83" t="str">
        <f ca="1">IF(COUNTIF(Checklist!J191:'Checklist'!J193,"NA")&gt;0,"Not Applicable",IF(COUNTIF(Checklist!J191:'Checklist'!J193,"Y")&gt;0,"Approved","Not Approved"))</f>
        <v>Not Approved</v>
      </c>
    </row>
    <row r="69" spans="1:3" ht="24">
      <c r="A69" s="253" t="s">
        <v>221</v>
      </c>
      <c r="B69" s="58" t="s">
        <v>222</v>
      </c>
      <c r="C69" s="85" t="str">
        <f ca="1">IF(COUNTIF(Checklist!J195:'Checklist'!J196,"NA")&gt;0,"Not Applicable",IF(COUNTIF(Checklist!J195:'Checklist'!J196,"Y")&gt;0,"Approved","Not Approved"))</f>
        <v>Not Approved</v>
      </c>
    </row>
    <row r="70" spans="1:3">
      <c r="A70" s="254"/>
      <c r="B70" s="103" t="s">
        <v>224</v>
      </c>
      <c r="C70" s="79" t="str">
        <f ca="1">IF(COUNTIF(Checklist!J197:'Checklist'!J199,"NA")&gt;0,"Not Applicable",IF(COUNTIF(Checklist!J197:'Checklist'!J199,"Y")&gt;0,"Approved","Not Approved"))</f>
        <v>Not Approved</v>
      </c>
    </row>
  </sheetData>
  <sheetProtection algorithmName="SHA-512" hashValue="zVQyIQ9Uo+mBNs2U2VpyoYxG6dSDqUcYE/pFsozM+AYVh7PPW796g+sgc4866WpRrRBbSooTIagAUuiSH7PAeQ==" saltValue="7un4LyD9iVqtpvHNeQZj0A==" spinCount="100000" sheet="1" selectLockedCells="1"/>
  <mergeCells count="6">
    <mergeCell ref="A69:A70"/>
    <mergeCell ref="A12:A25"/>
    <mergeCell ref="A26:A36"/>
    <mergeCell ref="A37:A43"/>
    <mergeCell ref="A44:A52"/>
    <mergeCell ref="A53:A67"/>
  </mergeCells>
  <conditionalFormatting sqref="C1:C1048576">
    <cfRule type="expression" dxfId="2" priority="1">
      <formula>$C1:$C70="Not Approved"</formula>
    </cfRule>
    <cfRule type="expression" dxfId="1" priority="2">
      <formula>$C1:$C70="Approved"</formula>
    </cfRule>
    <cfRule type="expression" dxfId="0" priority="3">
      <formula>$C1:$C70="Not Applicable"</formula>
    </cfRule>
  </conditionalFormatting>
  <dataValidations disablePrompts="1" count="1">
    <dataValidation type="list" allowBlank="1" showInputMessage="1" showErrorMessage="1" errorTitle="Alert!" error="Please select from the drop down list only!" sqref="B3" xr:uid="{CFAA7B2A-813E-48B6-A815-7BA384D53352}">
      <formula1>"Approved,Not Approved,Conditionally Approved"</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53890CCB2CF14DAF2CFA36B414DA02" ma:contentTypeVersion="3" ma:contentTypeDescription="Create a new document." ma:contentTypeScope="" ma:versionID="638b6b7d95d15771723f76d7b9fd2d6c">
  <xsd:schema xmlns:xsd="http://www.w3.org/2001/XMLSchema" xmlns:xs="http://www.w3.org/2001/XMLSchema" xmlns:p="http://schemas.microsoft.com/office/2006/metadata/properties" xmlns:ns2="d474f289-c77e-4956-968e-a34b0355fdc8" targetNamespace="http://schemas.microsoft.com/office/2006/metadata/properties" ma:root="true" ma:fieldsID="0e910fe8658d5f9f61f839beb9e6aba9" ns2:_="">
    <xsd:import namespace="d474f289-c77e-4956-968e-a34b0355fdc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74f289-c77e-4956-968e-a34b0355fd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CE1D53-3C97-472C-8F42-3337DBF1AD23}"/>
</file>

<file path=customXml/itemProps2.xml><?xml version="1.0" encoding="utf-8"?>
<ds:datastoreItem xmlns:ds="http://schemas.openxmlformats.org/officeDocument/2006/customXml" ds:itemID="{DA6AF1FC-A4DB-4DD3-9500-5791C6A38822}"/>
</file>

<file path=customXml/itemProps3.xml><?xml version="1.0" encoding="utf-8"?>
<ds:datastoreItem xmlns:ds="http://schemas.openxmlformats.org/officeDocument/2006/customXml" ds:itemID="{2DA2B1A6-E001-4B04-8AB0-3CBCA092CF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2023-04-18T04:51:59Z</dcterms:created>
  <dcterms:modified xsi:type="dcterms:W3CDTF">2026-08-20T09:36:33Z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0x010100B553890CCB2CF14DAF2CFA36B414DA02</vt:lpwstr>
  </property>
</Properties>
</file>