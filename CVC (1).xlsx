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lassification" sheetId="1" r:id="rId5"/>
    <sheet state="visible" name="Summary" sheetId="2" r:id="rId6"/>
    <sheet state="visible" name="CVC" sheetId="3" r:id="rId7"/>
    <sheet state="visible" name="Outdated Components" sheetId="4" r:id="rId8"/>
    <sheet state="visible" name="Technology_Stack" sheetId="5" r:id="rId9"/>
  </sheets>
  <definedNames/>
  <calcPr/>
</workbook>
</file>

<file path=xl/sharedStrings.xml><?xml version="1.0" encoding="utf-8"?>
<sst xmlns="http://schemas.openxmlformats.org/spreadsheetml/2006/main" count="358" uniqueCount="180">
  <si>
    <t>Tools and Version</t>
  </si>
  <si>
    <t>OWASP Dependency Check 13.0.0</t>
  </si>
  <si>
    <t>TCS Confidential</t>
  </si>
  <si>
    <t>Dependencies Scanned</t>
  </si>
  <si>
    <t>45 (45 unique)</t>
  </si>
  <si>
    <t>Vulnerabilities Found</t>
  </si>
  <si>
    <t>6</t>
  </si>
  <si>
    <t>Vulnerable Dependencies</t>
  </si>
  <si>
    <t>4</t>
  </si>
  <si>
    <t>Scan time</t>
  </si>
  <si>
    <t>0:0:9</t>
  </si>
  <si>
    <t>Summary</t>
  </si>
  <si>
    <t>Status</t>
  </si>
  <si>
    <t>Critical</t>
  </si>
  <si>
    <t>High</t>
  </si>
  <si>
    <t>Medium</t>
  </si>
  <si>
    <t>Low</t>
  </si>
  <si>
    <t>Grand Total</t>
  </si>
  <si>
    <t>Name</t>
  </si>
  <si>
    <t>Closed</t>
  </si>
  <si>
    <t>Current Version</t>
  </si>
  <si>
    <t>Latest Version</t>
  </si>
  <si>
    <t>Package URL</t>
  </si>
  <si>
    <t>Release Date</t>
  </si>
  <si>
    <t>Age</t>
  </si>
  <si>
    <t>Category</t>
  </si>
  <si>
    <t>Actions to be taken</t>
  </si>
  <si>
    <t>Version Match</t>
  </si>
  <si>
    <t>Type</t>
  </si>
  <si>
    <t>Dependency Name</t>
  </si>
  <si>
    <t>Dependency Path</t>
  </si>
  <si>
    <t>Vulnerability</t>
  </si>
  <si>
    <t>CVE</t>
  </si>
  <si>
    <t>Severity</t>
  </si>
  <si>
    <t>Developer Comments</t>
  </si>
  <si>
    <t>Auditor Comments</t>
  </si>
  <si>
    <t>brace-expansion:1.1.15</t>
  </si>
  <si>
    <t>G:\Jenkins\workspace\IS_BFSI_TCS_Credit_Risk_Dossier_V1_DC\CVC\credit-dossier-final-version IP safe_solution\frontend\package-lock.json?brace-expansion</t>
  </si>
  <si>
    <t>### Summary  `expand()` bounds the *number* of results it produces (the `max` option, `100_000` by default) but not their *length*. By chaining many brace groups, an attacker keeps the result count under `max` while making every result grow with the numbe</t>
  </si>
  <si>
    <t>GHSA-MH99-V99M-4GVG</t>
  </si>
  <si>
    <t>HIGH</t>
  </si>
  <si>
    <t>Open</t>
  </si>
  <si>
    <t>minimatch@3.1.5 expects this version of brace-expansion:1.1.15</t>
  </si>
  <si>
    <t>Not An Issue</t>
  </si>
  <si>
    <t>### Summary  The `maxLength` mitigation added in `5.0.8` for GHSA-mh99-v99m-4gvg / CVE-2026-14257 is incomplete. It bounds the accumulator where results are *combined*, but not the intermediate arrays that feed it. A ~25 KB input still crashes the Node pr</t>
  </si>
  <si>
    <t>GHSA-RGW5-RVV9-X895</t>
  </si>
  <si>
    <t>### Summary brace-expansion's expand() exhibits exponential-time - O(2?) - behavior in the number of consecutive non-expanding {} groups. A short, all-ASCII input (~90 bytes/30 groups) blocks the calling thread for minutes; a slightly longer input hangs i</t>
  </si>
  <si>
    <t>GHSA-3JXR-9VMJ-R5CP</t>
  </si>
  <si>
    <t>MEDIUM</t>
  </si>
  <si>
    <t>pydantic-settings:2.14.0</t>
  </si>
  <si>
    <t>G:\Jenkins\workspace\IS_BFSI_TCS_Credit_Risk_Dossier_V1_DC\CVC\credit-dossier-final-version IP safe_solution\backend\requirements.txt:pydantic-settings/2.14.0</t>
  </si>
  <si>
    <t xml:space="preserve">pydantic-settings provides settings management using Pydantic. From 2.12.0 until 2.14.2, NestedSecretsSettingsSource reads secret values from files in a configured secrets_dir. When secrets_nested_subdir=True, a directory entry inside secrets_dir that is </t>
  </si>
  <si>
    <t>CVE-2026-58203</t>
  </si>
  <si>
    <t>upgraded</t>
  </si>
  <si>
    <t>reportlab:4.5.0</t>
  </si>
  <si>
    <t>G:\Jenkins\workspace\IS_BFSI_TCS_Credit_Risk_Dossier_V1_DC\CVC\credit-dossier-final-version IP safe_solution\backend\requirements.txt:reportlab/4.5.0</t>
  </si>
  <si>
    <t>All versions of package reportlab are vulnerable to Server-side Request Forgery (SSRF) via img tags. In order to reduce risk, use trustedSchemes &amp; trustedHosts (see in Reportlab's documentation) Steps to reproduce by Karan Bamal: 1. Download and install t</t>
  </si>
  <si>
    <t>CVE-2020-28463</t>
  </si>
  <si>
    <t>xhtml2pdf 0.2.17, which generates the downloadable PDF, requires ReportLab below version 5.</t>
  </si>
  <si>
    <t>G:\Jenkins\workspace\IS_BFSI_TCS_Credit_Risk_Dossier_V1_DC\CVC\credit-dossier-final-version IP safe_solution\mcp\requirements.txt:reportlab/4.5.0</t>
  </si>
  <si>
    <t>Technology</t>
  </si>
  <si>
    <t>Version</t>
  </si>
  <si>
    <t>CVE ID</t>
  </si>
  <si>
    <t>vulnerabilities Description</t>
  </si>
  <si>
    <t>status</t>
  </si>
  <si>
    <t>NVD Link</t>
  </si>
  <si>
    <t>EOL</t>
  </si>
  <si>
    <t>Python</t>
  </si>
  <si>
    <t>3.14.7</t>
  </si>
  <si>
    <t>LOW</t>
  </si>
  <si>
    <t>CVE-2026-15310</t>
  </si>
  <si>
    <t>When decompressing crafted zip files using the bzip/LZMA/Zstandard 
compressions, Python could use an attacker-controlled size to 
Pre-allocate memory, possibly resulting in memory exhaustion.</t>
  </si>
  <si>
    <t>Python 3.14.8 has not yet been officially released; 3.14.7 remains the latest release.</t>
  </si>
  <si>
    <t>https://nvd.nist.gov/vuln/search/results?adv_search=true&amp;isCpeNameSearch=true&amp;query=cpe%3A2.3%3Aa%3Apython%3Apython%3A3.14.7%3A%2A%3A%2A%3A%2A%3A%2A%3A%2A%3A%2A%3A%2A</t>
  </si>
  <si>
    <t>Ends in 4 years
(31 Oct 2030)</t>
  </si>
  <si>
    <t>CVE-2026-15806</t>
  </si>
  <si>
    <t>The HTTPPasswordMgr class in the urllib.request module, along with its subclasses HTTPPasswordMgrWithDefaultRealm and HTTPPasswordMgrWithPriorAuth, did not take the URL scheme into account when matching stored credentials against a requested URL. Credenti</t>
  </si>
  <si>
    <t>CVE-2021-32052</t>
  </si>
  <si>
    <t>In Django 2.2 before 2.2.22, 3.1 before 3.1.10, and 3.2 before 3.2.2 (with Python 3.9.5+), URLValidator does not prohibit newlines and tabs (unless the URLField form field is used). If an application uses values with newlines in an HTTP response, header i</t>
  </si>
  <si>
    <t>false positive, we are not using django</t>
  </si>
  <si>
    <t>CVE-2020-29396</t>
  </si>
  <si>
    <t>A sandboxing issue in Odoo Community 11.0 through 13.0 and Odoo Enterprise 11.0 through 13.0, when running with Python 3.6 or later, allows remote authenticated users to execute arbitrary code, leading to privilege escalation.</t>
  </si>
  <si>
    <t>false positive, we are not using odoo</t>
  </si>
  <si>
    <t>CVE-2009-3720</t>
  </si>
  <si>
    <t>The updatePosition function in lib/xmltok_impl.c in libexpat in Expat 2.0.1, as used in Python, PyXML, w3c-libwww, and other software, allows context-dependent attackers to cause a denial of service (application crash) via an XML document with crafted UTF</t>
  </si>
  <si>
    <t>false positive, we are not using in our application</t>
  </si>
  <si>
    <t>CVE-2009-2940</t>
  </si>
  <si>
    <t>The pygresql module 3.8.1 and 4.0 for Python does not properly support the PQescapeStringConn function, which might allow remote attackers to leverage escaping issues involving multibyte character encodings.</t>
  </si>
  <si>
    <t>Node.js</t>
  </si>
  <si>
    <t>24.18.0</t>
  </si>
  <si>
    <t>CVE-2026-58043</t>
  </si>
  <si>
    <t xml:space="preserve">A flaw in Node.js Permission Model enforcement can over-grant filesystem access across radix-tree prefix boundaries.Under `--permission`, an attacker who is granted access to one path can abuse boundary handling to read from or write to paths outside the </t>
  </si>
  <si>
    <t>upgraded to nodejs 24.18.1</t>
  </si>
  <si>
    <t>https://nvd.nist.gov/vuln/search/results?adv_search=true&amp;isCpeNameSearch=true&amp;query=cpe%3A2.3%3Aa%3Anodejs%3Anode.js%3A24.18.0%3A%2A%3A%2A%3A%2A%3A%2A%3A%2A%3A%2A%3A%2A</t>
  </si>
  <si>
    <t>(EOL) on April 30, 2028</t>
  </si>
  <si>
    <t>CVE-2026-56850</t>
  </si>
  <si>
    <t xml:space="preserve">A flaw in Node.js HTTPS Agent connection reuse can cause PFX object-array key collisions, allowing mutual TLS (mTLS) client identities to be reused across requests configured with different client certificates.This vulnerability affects Node.js **26.x**, </t>
  </si>
  <si>
    <t>upgraded to nodejs 24.18.2</t>
  </si>
  <si>
    <t>CVE-2026-56847</t>
  </si>
  <si>
    <t>A flaw in Node.js Permission Model enforcement allows `trace_events.createTracing().enable()` Writes Trace Logs Outside `--allow-fs-write`.This can lead to confidentiality impact or bypass of the intended security boundary under affected configurations.Th</t>
  </si>
  <si>
    <t>upgraded to nodejs 24.18.3</t>
  </si>
  <si>
    <t>CVE-2022-36046</t>
  </si>
  <si>
    <t>Next.js is a React framework that can provide building blocks to create web applications. All of the following must be true to be affected by this CVE: Next.js version 12.2.3, Node.js version above v15.0.0 being used with strict `unhandledRejection` exiti</t>
  </si>
  <si>
    <t>false positive, we are not using next.js</t>
  </si>
  <si>
    <t>CVE-2021-43803</t>
  </si>
  <si>
    <t xml:space="preserve">Next.js is a React framework. In versions of Next.js prior to 12.0.5 or 11.1.3, invalid or malformed URLs could lead to a server crash. In order to be affected by this issue, the deployment must use Next.js versions above 11.1.0 and below 12.0.5, Node.js </t>
  </si>
  <si>
    <t>PostgreSQL</t>
  </si>
  <si>
    <t>CVE-2026-6471</t>
  </si>
  <si>
    <t>Missing authorization in PostgreSQL logical decoding allows a non-superuser holding REPLICATION privilege to dlopen any file visible to the operating system account running the server, via the choice of logical decoding plugin.  This in turn runs arbitrar</t>
  </si>
  <si>
    <t>upgraded to PostgreSQL 18.6</t>
  </si>
  <si>
    <t>https://nvd.nist.gov/vuln/search/results?adv_search=true&amp;isCpeNameSearch=true&amp;query=cpe%3A2.3%3Aa%3Apostgresql%3Apostgresql%3A18.4%3A%2A%3A%2A%3A%2A%3A%2A%3A%2A%3A%2A%3A%2A</t>
  </si>
  <si>
    <t>Ends in 4 years
(14 Nov 2030)</t>
  </si>
  <si>
    <t>CVE-2026-6470</t>
  </si>
  <si>
    <t>Missing authorization in PostgreSQL DDL commands allows an object creator to achieve denial of service against ALTER and DROP of the type, via creating a dependency on the type.  Many DDL operations did check the privilege, but assigning a range subtype a</t>
  </si>
  <si>
    <t>CVE-2026-6469</t>
  </si>
  <si>
    <t>Incorrect ownership assignment in PostgreSQL ALTER TABLE ALTER TYPE command reassigns ownership of dependent statistics objects to the current user.  This wrongly allows the table owner to run DROP STATISTICS and ALTER STATISTICS via this improper ownersh</t>
  </si>
  <si>
    <t>CVE-2026-6464</t>
  </si>
  <si>
    <t>Untrusted data inclusion in PostgreSQL psql COPY may allow a server administrator to elicit execution of data lines as psql commands, via error injection.  If the "COPY FROM STDIN" or "\copy FROM STDIN" command fails before the server indicates that it aw</t>
  </si>
  <si>
    <t>CVE-2026-19385</t>
  </si>
  <si>
    <t>Heap buffer overflow in PostgreSQL pg_dump of long function transform lists allows an object creator to execute arbitrary code as the operating system user running pg_dump, via a crafted transform list.  Versions before PostgreSQL 18.6, 17.11, 16.15, 15.1</t>
  </si>
  <si>
    <t>CVE-2026-18408</t>
  </si>
  <si>
    <t>Untrusted data inclusion in pg_dump in PostgreSQL allows a malicious superuser of the origin server to inject arbitrary code for restore-time execution as the client operating system account running psql to restore the dump, via psql \restrict meta-comman</t>
  </si>
  <si>
    <t>CVE-2026-18024</t>
  </si>
  <si>
    <t>Buffer over-read in PostgreSQL ascii() SQL function allows a user to disclose up to 3 bytes after the end of a specific allocation, via a crafted text value.  This is the same class of defect that CVE-2026-2006 fixed, though this instance has less impact.</t>
  </si>
  <si>
    <t>CVE-2026-16241</t>
  </si>
  <si>
    <t>Integer underflow in PostgreSQL ECPG allows a database server administrator to achieve temporary denial of service against the ECPG client via sending a bytea value lacking the mandatory prefix.  The client overwrites a huge memory region with bytes outsi</t>
  </si>
  <si>
    <t>CVE-2026-16239</t>
  </si>
  <si>
    <t>Type confusion in PostgreSQL "portal"/cursor lifecycle allows a user to execute arbitrary code as the operating system user running the database, via re-creation of a cursor or other portal with different types.  Versions before PostgreSQL 18.6, 17.11, 16</t>
  </si>
  <si>
    <t>CVE-2026-16238</t>
  </si>
  <si>
    <t xml:space="preserve">Type confusion in PostgreSQL pg_restore_attribute_stats() allows an object creator to execute arbitrary code as the operating system user running the database, via conflation of range and multirange values.  Within major version 18, minor versions before </t>
  </si>
  <si>
    <t>CVE-2026-15742</t>
  </si>
  <si>
    <t>Integer wraparound in PostgreSQL fuzzystrmatch allows a user to direct writes to a huge range of addresses, executing arbitrary code as the operating system user running the database, via extreme inputs to SQL function levenshtein() or levenshtein_less_eq</t>
  </si>
  <si>
    <t>CVE-2026-15741</t>
  </si>
  <si>
    <t xml:space="preserve">SQL injection in PostgreSQL EXTRACT() deparse allows an object owner to execute arbitrary SQL as a superuser via a hostile object definition.  Attacks affect expression deparse consumers broadly, including pg_dump, psql commands like \sf, and any similar </t>
  </si>
  <si>
    <t>CVE-2026-14681</t>
  </si>
  <si>
    <t>Improper enforcement of message integrity in PostgreSQL GSSAPI support allows a user to negotiate GSSAPI contrary to pg_hba.conf rules, via initial direct TLS connection.  Despite a pg_hba.conf that appears to require GSSAPI, the connection may exchange d</t>
  </si>
  <si>
    <t>CVE-2026-14680</t>
  </si>
  <si>
    <t>Type confusion with PostgreSQL "internal" data type arguments allows any user to execute arbitrary code as the operating system user running the database, via calls to functions with that argument type.  Type "internal" represents a class of mutually-inco</t>
  </si>
  <si>
    <t>CVE-2026-14679</t>
  </si>
  <si>
    <t>Stack buffer overflow in PostgreSQL argument name matching allows an object creator to achieve unknown impacts via OUT parameter count.  The attack can write only 0x0 and 0x1 bytes.  Versions before PostgreSQL 18.6, 17.11, 16.15, 15.19, and 14.24 are affe</t>
  </si>
  <si>
    <t>CVE-2026-14678</t>
  </si>
  <si>
    <t>Buffer over-read in PostgreSQL pg_trgm index picksplit function reads past end of a heap buffer.  This might allow a table maintainer to infer limited memory values, via the lossy signal of index split choices.  Versions before PostgreSQL 18.6, 17.11, 16.</t>
  </si>
  <si>
    <t>CVE-2026-14677</t>
  </si>
  <si>
    <t>Integer wraparound in PostgreSQL 32-bit builds of pltcl and plperl allows an object creator to cause the server to undersize an allocation and write out-of-bounds via crafted function bodies.  This may execute arbitrary code as the operating system user r</t>
  </si>
  <si>
    <t>CVE-2026-14676</t>
  </si>
  <si>
    <t>Heap buffer overflow in PostgreSQL pg_stat_statements allows the query author to execute arbitrary code as the operating system user running the database, via crafted queries containing array constants.  Within major version 18, minor versions before Post</t>
  </si>
  <si>
    <t>CVE-2026-14673</t>
  </si>
  <si>
    <t>Untrusted search path in PostgreSQL amcheck allows a grantee of amcheck function EXECUTE privilege to execute arbitrary functions as the owners of expression indexes that depend on the search path, via setting a hostile search path before calling the amch</t>
  </si>
  <si>
    <t>CVE-2026-14672</t>
  </si>
  <si>
    <t>Observable response discrepancy in PostgreSQL SCRAM authentication allows an unauthenticated user to test the existence of a user via observing the SCRAM iteration count.  This requires the probed user to have a non-default scram_iterations count, because</t>
  </si>
  <si>
    <t>CVE-2026-14671</t>
  </si>
  <si>
    <t>Type confusion in PostgreSQL module "refint" allows an object creator to execute arbitrary code as the operating system user running the database.  The fix for this emerged as a non-security bug report, and the fix appear in the git repository with subjec</t>
  </si>
  <si>
    <t>CVE-2026-14670</t>
  </si>
  <si>
    <t xml:space="preserve">Heap buffer overflow in PostgreSQL plperl return of a tied hash allows the function owner to execute arbitrary code as the operating system user running the database, via a crafted function body.  Versions before PostgreSQL 18.6, 17.11, 16.15, 15.19, and </t>
  </si>
  <si>
    <t>CVE-2026-14669</t>
  </si>
  <si>
    <t>Heap buffer overflow in PostgreSQL to_char(timestamptz) allows the party choosing the timezone to execute arbitrary code as the operating system user running the database, via a long POSIX timezone abbreviation.  Versions before PostgreSQL 18.6, 17.11, 16</t>
  </si>
  <si>
    <t>CVE-2026-14668</t>
  </si>
  <si>
    <t>Type confusion regarding input of PostgreSQL ctid data type selectivity estimator allows an object creator to view a calculation derived from the value of an arbitrary 4-byte span of memory, via a chosen non-ctid input.  While the calculation loses precis</t>
  </si>
  <si>
    <t>CVE-2026-14666</t>
  </si>
  <si>
    <t>Incomplete tracking in PostgreSQL of changes to role membership, role attributes, and database ownership allows a query to continue using cached row-level security policies after those changes require a different policy, via plan reuse.  Stale policies co</t>
  </si>
  <si>
    <t>CVE-2026-14664</t>
  </si>
  <si>
    <t>Heap buffer overflow in PostgreSQL regexp allows the query author to execute arbitrary code as the operating system user running the database, via text that would not pass encoding validation.  This shares heritage with CVE-2026-2006, but this case involv</t>
  </si>
  <si>
    <t>CVE-2026-14663</t>
  </si>
  <si>
    <t>Cleartext storage in PostgreSQL pgcrypto disabled ciphers allows a user to recover cleartext, via direct observation of the faulty ciphertext.  The OpenSSL version and OpenSSL configuration determine the disabled ciphers.  If the application accepts encry</t>
  </si>
  <si>
    <t>CVE-2026-14662</t>
  </si>
  <si>
    <t>Integer wraparound in PostgreSQL tsvector and tsquery data type functions allows an unprivileged database user to cause the server to undersize an allocation and write out-of-bounds, via crafted large inputs.  This may execute arbitrary code as the operat</t>
  </si>
  <si>
    <t>CVE-2010-3781</t>
  </si>
  <si>
    <t xml:space="preserve">The PL/php add-on 1.4 and earlier for PostgreSQL does not properly protect script execution by a different SQL user identity within the same session, which allows remote authenticated users to gain privileges via crafted script code in a SECURITY DEFINER </t>
  </si>
  <si>
    <t>false positive</t>
  </si>
  <si>
    <t>CVE-2009-2943</t>
  </si>
  <si>
    <t>The postgresql-ocaml bindings 1.5.4, 1.7.0, and 1.12.1 for PostgreSQL libpq do not properly support the PQescapeStringConn function, which might allow remote attackers to leverage escaping issues involving multibyte character encodings.</t>
  </si>
  <si>
    <t>FastAPI</t>
  </si>
  <si>
    <t>0.140.0</t>
  </si>
  <si>
    <t>As of the assessment date, no known vulnerabilities were identified in the listed technology versions.</t>
  </si>
  <si>
    <t>Not Announced / No Published EOL Date</t>
  </si>
  <si>
    <t>React</t>
  </si>
  <si>
    <t>19.2.7</t>
  </si>
  <si>
    <t>EOL: N/A (Currently Supported)</t>
  </si>
  <si>
    <t xml:space="preserve">TypeScript </t>
  </si>
  <si>
    <t>5.9.3</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</si>
</sst>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Calibri"/>
    </font>
    <font>
      <b/>
      <sz val="14.0"/>
      <color theme="1"/>
      <name val="Calibri"/>
    </font>
    <font>
      <b/>
      <sz val="11.0"/>
      <color theme="1"/>
      <name val="Cambria"/>
    </font>
    <font>
      <color theme="1"/>
      <name val="Arial"/>
      <scheme val="minor"/>
    </font>
    <font>
      <b/>
      <i/>
      <sz val="10.0"/>
      <color rgb="FFFFFFFF"/>
      <name val="Calibri"/>
    </font>
    <font>
      <sz val="10.0"/>
      <color theme="1"/>
      <name val="Arial"/>
    </font>
    <font>
      <b/>
      <sz val="10.0"/>
      <color theme="1"/>
      <name val="Arial"/>
    </font>
    <font>
      <b/>
      <sz val="10.0"/>
      <color theme="1"/>
      <name val="Times New Roman"/>
    </font>
  </fonts>
  <fills count="4">
    <fill>
      <patternFill patternType="none"/>
    </fill>
    <fill>
      <patternFill patternType="lightGray"/>
    </fill>
    <fill>
      <patternFill patternType="solid">
        <fgColor rgb="FF004586"/>
        <bgColor rgb="FF004586"/>
      </patternFill>
    </fill>
    <fill>
      <patternFill patternType="solid">
        <fgColor rgb="FFE6E6FF"/>
        <bgColor rgb="FFE6E6FF"/>
      </patternFill>
    </fill>
  </fills>
  <borders count="4">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top" wrapText="1"/>
    </xf>
    <xf borderId="0" fillId="0" fontId="2" numFmtId="0" xfId="0" applyAlignment="1" applyFont="1">
      <alignment horizontal="center" shrinkToFit="0" vertical="center" wrapText="0"/>
    </xf>
    <xf borderId="1" fillId="0" fontId="3" numFmtId="0" xfId="0" applyAlignment="1" applyBorder="1" applyFont="1">
      <alignment horizontal="center" shrinkToFit="0" vertical="top" wrapText="0"/>
    </xf>
    <xf borderId="0" fillId="0" fontId="4" numFmtId="0" xfId="0" applyAlignment="1" applyFont="1">
      <alignment readingOrder="0"/>
    </xf>
    <xf borderId="0" fillId="0" fontId="1" numFmtId="0" xfId="0" applyAlignment="1" applyFont="1">
      <alignment readingOrder="0" shrinkToFit="0" vertical="bottom" wrapText="0"/>
    </xf>
    <xf borderId="2" fillId="2" fontId="5" numFmtId="0" xfId="0" applyAlignment="1" applyBorder="1" applyFill="1" applyFont="1">
      <alignment shrinkToFit="0" vertical="bottom" wrapText="1"/>
    </xf>
    <xf borderId="2" fillId="2" fontId="5" numFmtId="0" xfId="0" applyAlignment="1" applyBorder="1" applyFill="1" applyFont="1">
      <alignment shrinkToFit="0" vertical="bottom" wrapText="0"/>
    </xf>
    <xf borderId="2" fillId="0" fontId="6" numFmtId="0" xfId="0" applyAlignment="1" applyBorder="1" applyFont="1">
      <alignment shrinkToFit="0" vertical="bottom" wrapText="0"/>
    </xf>
    <xf borderId="2" fillId="0" fontId="6" numFmtId="0" xfId="0" applyAlignment="1" applyBorder="1" applyFont="1">
      <alignment shrinkToFit="0" vertical="bottom" wrapText="1"/>
    </xf>
    <xf borderId="2" fillId="0" fontId="6" numFmtId="0" xfId="0" applyAlignment="1" applyBorder="1" applyFont="1">
      <alignment readingOrder="0" shrinkToFit="0" vertical="bottom" wrapText="0"/>
    </xf>
    <xf borderId="2" fillId="3" fontId="7" numFmtId="0" xfId="0" applyAlignment="1" applyBorder="1" applyFill="1" applyFont="1">
      <alignment shrinkToFit="0" vertical="bottom" wrapText="1"/>
    </xf>
    <xf borderId="0" fillId="0" fontId="4" numFmtId="0" xfId="0" applyFont="1"/>
    <xf borderId="2" fillId="3" fontId="7" numFmtId="0" xfId="0" applyAlignment="1" applyBorder="1" applyFill="1" applyFont="1">
      <alignment shrinkToFit="0" vertical="bottom" wrapText="0"/>
    </xf>
    <xf borderId="2" fillId="0" fontId="7" numFmtId="0" xfId="0" applyAlignment="1" applyBorder="1" applyFont="1">
      <alignment shrinkToFit="0" vertical="bottom" wrapText="0"/>
    </xf>
    <xf borderId="0" fillId="0" fontId="8" numFmtId="0" xfId="0" applyAlignment="1" applyFont="1">
      <alignment shrinkToFit="0" vertical="bottom" wrapText="1"/>
    </xf>
    <xf borderId="3" fillId="3" fontId="8" numFmtId="0" xfId="0" applyAlignment="1" applyBorder="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75"/>
    <col customWidth="1" min="7" max="26" width="8.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3" t="s">
        <v>2</v>
      </c>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13"/>
    <col customWidth="1" min="2" max="2" width="15.13"/>
    <col customWidth="1" min="3" max="6" width="8.75"/>
    <col customWidth="1" min="7" max="26" width="8.63"/>
  </cols>
  <sheetData>
    <row r="1" ht="15.75" customHeight="1">
      <c r="A1" s="2" t="s">
        <v>0</v>
      </c>
      <c r="B1" s="2" t="s">
        <v>1</v>
      </c>
      <c r="C1" s="1"/>
      <c r="D1" s="1"/>
      <c r="E1" s="1"/>
      <c r="F1" s="1"/>
      <c r="G1" s="1"/>
      <c r="H1" s="1"/>
      <c r="I1" s="1"/>
      <c r="J1" s="1"/>
      <c r="K1" s="1"/>
      <c r="L1" s="1"/>
      <c r="M1" s="1"/>
      <c r="N1" s="1"/>
      <c r="O1" s="1"/>
      <c r="P1" s="1"/>
      <c r="Q1" s="1"/>
      <c r="R1" s="1"/>
      <c r="S1" s="1"/>
      <c r="T1" s="1"/>
      <c r="U1" s="1"/>
      <c r="V1" s="1"/>
      <c r="W1" s="1"/>
      <c r="X1" s="1"/>
      <c r="Y1" s="1"/>
      <c r="Z1" s="1"/>
    </row>
    <row r="2" ht="15.75" customHeight="1">
      <c r="A2" s="1" t="s">
        <v>3</v>
      </c>
      <c r="B2" s="1" t="s">
        <v>4</v>
      </c>
      <c r="C2" s="1"/>
      <c r="D2" s="1"/>
      <c r="E2" s="1"/>
      <c r="F2" s="1"/>
      <c r="G2" s="1"/>
      <c r="H2" s="1"/>
      <c r="I2" s="1"/>
      <c r="J2" s="1"/>
      <c r="K2" s="1"/>
      <c r="L2" s="1"/>
      <c r="M2" s="1"/>
      <c r="N2" s="1"/>
      <c r="O2" s="1"/>
      <c r="P2" s="1"/>
      <c r="Q2" s="1"/>
      <c r="R2" s="1"/>
      <c r="S2" s="1"/>
      <c r="T2" s="1"/>
      <c r="U2" s="1"/>
      <c r="V2" s="1"/>
      <c r="W2" s="1"/>
      <c r="X2" s="1"/>
      <c r="Y2" s="1"/>
      <c r="Z2" s="1"/>
    </row>
    <row r="3" ht="15.75" customHeight="1">
      <c r="A3" s="1" t="s">
        <v>5</v>
      </c>
      <c r="B3" s="1" t="s">
        <v>6</v>
      </c>
      <c r="C3" s="1"/>
      <c r="D3" s="1"/>
      <c r="E3" s="1"/>
      <c r="F3" s="1"/>
      <c r="G3" s="1"/>
      <c r="H3" s="1"/>
      <c r="I3" s="1"/>
      <c r="J3" s="1"/>
      <c r="K3" s="1"/>
      <c r="L3" s="1"/>
      <c r="M3" s="1"/>
      <c r="N3" s="1"/>
      <c r="O3" s="1"/>
      <c r="P3" s="1"/>
      <c r="Q3" s="1"/>
      <c r="R3" s="1"/>
      <c r="S3" s="1"/>
      <c r="T3" s="1"/>
      <c r="U3" s="1"/>
      <c r="V3" s="1"/>
      <c r="W3" s="1"/>
      <c r="X3" s="1"/>
      <c r="Y3" s="1"/>
      <c r="Z3" s="1"/>
    </row>
    <row r="4" ht="15.75" customHeight="1">
      <c r="A4" s="1" t="s">
        <v>7</v>
      </c>
      <c r="B4" s="1" t="s">
        <v>8</v>
      </c>
      <c r="C4" s="1"/>
      <c r="D4" s="1"/>
      <c r="E4" s="1"/>
      <c r="F4" s="1"/>
      <c r="G4" s="1"/>
      <c r="H4" s="1"/>
      <c r="I4" s="1"/>
      <c r="J4" s="1"/>
      <c r="K4" s="1"/>
      <c r="L4" s="1"/>
      <c r="M4" s="1"/>
      <c r="N4" s="1"/>
      <c r="O4" s="1"/>
      <c r="P4" s="1"/>
      <c r="Q4" s="1"/>
      <c r="R4" s="1"/>
      <c r="S4" s="1"/>
      <c r="T4" s="1"/>
      <c r="U4" s="1"/>
      <c r="V4" s="1"/>
      <c r="W4" s="1"/>
      <c r="X4" s="1"/>
      <c r="Y4" s="1"/>
      <c r="Z4" s="1"/>
    </row>
    <row r="5" ht="15.75" customHeight="1">
      <c r="A5" s="1" t="s">
        <v>9</v>
      </c>
      <c r="B5" s="1" t="s">
        <v>10</v>
      </c>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t="s">
        <v>11</v>
      </c>
      <c r="B8" s="1"/>
      <c r="C8" s="1"/>
      <c r="D8" s="1"/>
      <c r="E8" s="1"/>
      <c r="F8" s="1"/>
      <c r="G8" s="1"/>
      <c r="H8" s="1"/>
      <c r="I8" s="1"/>
      <c r="J8" s="1"/>
      <c r="K8" s="1"/>
      <c r="L8" s="1"/>
      <c r="M8" s="1"/>
      <c r="N8" s="1"/>
      <c r="O8" s="1"/>
      <c r="P8" s="1"/>
      <c r="Q8" s="1"/>
      <c r="R8" s="1"/>
      <c r="S8" s="1"/>
      <c r="T8" s="1"/>
      <c r="U8" s="1"/>
      <c r="V8" s="1"/>
      <c r="W8" s="1"/>
      <c r="X8" s="1"/>
      <c r="Y8" s="1"/>
      <c r="Z8" s="1"/>
    </row>
    <row r="9" ht="15.75" customHeight="1">
      <c r="A9" s="1" t="s">
        <v>12</v>
      </c>
      <c r="B9" s="1" t="s">
        <v>13</v>
      </c>
      <c r="C9" s="1" t="s">
        <v>14</v>
      </c>
      <c r="D9" s="1" t="s">
        <v>15</v>
      </c>
      <c r="E9" s="1" t="s">
        <v>16</v>
      </c>
      <c r="F9" s="1" t="s">
        <v>17</v>
      </c>
      <c r="G9" s="1"/>
      <c r="H9" s="1"/>
      <c r="I9" s="1"/>
      <c r="J9" s="1"/>
      <c r="K9" s="1"/>
      <c r="L9" s="1"/>
      <c r="M9" s="1"/>
      <c r="N9" s="1"/>
      <c r="O9" s="1"/>
      <c r="P9" s="1"/>
      <c r="Q9" s="1"/>
      <c r="R9" s="1"/>
      <c r="S9" s="1"/>
      <c r="T9" s="1"/>
      <c r="U9" s="1"/>
      <c r="V9" s="1"/>
      <c r="W9" s="1"/>
      <c r="X9" s="1"/>
      <c r="Y9" s="1"/>
      <c r="Z9" s="1"/>
    </row>
    <row r="10" ht="15.75" customHeight="1">
      <c r="A10" s="1" t="s">
        <v>19</v>
      </c>
      <c r="B10" s="1">
        <f>SUMPRODUCT((LOWER(CVC!E2:E7)="critical")*(LOWER(CVC!F2:F7)="closed"))</f>
        <v>0</v>
      </c>
      <c r="C10" s="1">
        <f>SUMPRODUCT((LOWER(CVC!E2:E7)="high")*(LOWER(CVC!F2:F7)="closed"))</f>
        <v>0</v>
      </c>
      <c r="D10" s="1">
        <f>SUMPRODUCT((LOWER(CVC!E2:E7)="medium")*(LOWER(CVC!F2:F7)="closed"))</f>
        <v>0</v>
      </c>
      <c r="E10" s="1">
        <f>SUMPRODUCT((LOWER(CVC!E2:E7)="low")*(LOWER(CVC!F2:F7)="closed"))</f>
        <v>0</v>
      </c>
      <c r="F10" s="1">
        <f t="shared" ref="F10:F13" si="1">SUM(B10:E10)</f>
        <v>0</v>
      </c>
      <c r="G10" s="1"/>
      <c r="H10" s="1"/>
      <c r="I10" s="1"/>
      <c r="J10" s="1"/>
      <c r="K10" s="1"/>
      <c r="L10" s="1"/>
      <c r="M10" s="1"/>
      <c r="N10" s="1"/>
      <c r="O10" s="1"/>
      <c r="P10" s="1"/>
      <c r="Q10" s="1"/>
      <c r="R10" s="1"/>
      <c r="S10" s="1"/>
      <c r="T10" s="1"/>
      <c r="U10" s="1"/>
      <c r="V10" s="1"/>
      <c r="W10" s="1"/>
      <c r="X10" s="1"/>
      <c r="Y10" s="1"/>
      <c r="Z10" s="1"/>
    </row>
    <row r="11" ht="15.75" customHeight="1">
      <c r="A11" s="1" t="s">
        <v>43</v>
      </c>
      <c r="B11" s="1">
        <f>SUMPRODUCT((LOWER(CVC!E2:E7)="critical")*(LOWER(CVC!F2:F7)="not an issue"))</f>
        <v>0</v>
      </c>
      <c r="C11" s="1">
        <f>SUMPRODUCT((LOWER(CVC!E2:E7)="high")*(LOWER(CVC!F2:F7)="not an issue"))</f>
        <v>0</v>
      </c>
      <c r="D11" s="1">
        <f>SUMPRODUCT((LOWER(CVC!E2:E7)="medium")*(LOWER(CVC!F2:F7)="not an issue"))</f>
        <v>0</v>
      </c>
      <c r="E11" s="1">
        <f>SUMPRODUCT((LOWER(CVC!E2:E7)="low")*(LOWER(CVC!F2:F7)="not an issue"))</f>
        <v>0</v>
      </c>
      <c r="F11" s="1">
        <f t="shared" si="1"/>
        <v>0</v>
      </c>
      <c r="G11" s="1"/>
      <c r="H11" s="1"/>
      <c r="I11" s="1"/>
      <c r="J11" s="1"/>
      <c r="K11" s="1"/>
      <c r="L11" s="1"/>
      <c r="M11" s="1"/>
      <c r="N11" s="1"/>
      <c r="O11" s="1"/>
      <c r="P11" s="1"/>
      <c r="Q11" s="1"/>
      <c r="R11" s="1"/>
      <c r="S11" s="1"/>
      <c r="T11" s="1"/>
      <c r="U11" s="1"/>
      <c r="V11" s="1"/>
      <c r="W11" s="1"/>
      <c r="X11" s="1"/>
      <c r="Y11" s="1"/>
      <c r="Z11" s="1"/>
    </row>
    <row r="12" ht="15.75" customHeight="1">
      <c r="A12" s="1" t="s">
        <v>41</v>
      </c>
      <c r="B12" s="1">
        <f>SUMPRODUCT((CVC!E2:E7="critical")*((CVC!F2:F7="")+(CVC!F2:F7="open")))</f>
        <v>0</v>
      </c>
      <c r="C12" s="1">
        <f>SUMPRODUCT((CVC!E2:E7="high")*((CVC!F2:F7="")+(CVC!F2:F7="open")))</f>
        <v>2</v>
      </c>
      <c r="D12" s="1">
        <f>SUMPRODUCT((CVC!E2:E7="medium")*((CVC!F2:F7="")+(CVC!F2:F7="open")))</f>
        <v>4</v>
      </c>
      <c r="E12" s="1">
        <f>SUMPRODUCT((CVC!E2:E7="low")*((CVC!F2:F7="")+(CVC!F2:F7="open")))</f>
        <v>0</v>
      </c>
      <c r="F12" s="1">
        <f t="shared" si="1"/>
        <v>6</v>
      </c>
      <c r="G12" s="1"/>
      <c r="H12" s="1"/>
      <c r="I12" s="1"/>
      <c r="J12" s="1"/>
      <c r="K12" s="1"/>
      <c r="L12" s="1"/>
      <c r="M12" s="1"/>
      <c r="N12" s="1"/>
      <c r="O12" s="1"/>
      <c r="P12" s="1"/>
      <c r="Q12" s="1"/>
      <c r="R12" s="1"/>
      <c r="S12" s="1"/>
      <c r="T12" s="1"/>
      <c r="U12" s="1"/>
      <c r="V12" s="1"/>
      <c r="W12" s="1"/>
      <c r="X12" s="1"/>
      <c r="Y12" s="1"/>
      <c r="Z12" s="1"/>
    </row>
    <row r="13" ht="15.75" customHeight="1">
      <c r="A13" s="1" t="s">
        <v>17</v>
      </c>
      <c r="B13" s="1">
        <f t="shared" ref="B13:E13" si="2">SUM(B10:B12)</f>
        <v>0</v>
      </c>
      <c r="C13" s="1">
        <f t="shared" si="2"/>
        <v>2</v>
      </c>
      <c r="D13" s="1">
        <f t="shared" si="2"/>
        <v>4</v>
      </c>
      <c r="E13" s="1">
        <f t="shared" si="2"/>
        <v>0</v>
      </c>
      <c r="F13" s="1">
        <f t="shared" si="1"/>
        <v>6</v>
      </c>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23.63"/>
    <col customWidth="1" min="3" max="3" width="23.13"/>
    <col customWidth="1" min="4" max="4" width="22.75"/>
    <col customWidth="1" min="5" max="6" width="11.0"/>
    <col customWidth="1" min="7" max="7" width="27.63"/>
    <col customWidth="1" min="8" max="8" width="24.0"/>
    <col customWidth="1" min="9" max="26" width="8.63"/>
  </cols>
  <sheetData>
    <row r="1" ht="15.75" customHeight="1">
      <c r="A1" s="4" t="s">
        <v>29</v>
      </c>
      <c r="B1" s="4" t="s">
        <v>30</v>
      </c>
      <c r="C1" s="4" t="s">
        <v>31</v>
      </c>
      <c r="D1" s="4" t="s">
        <v>32</v>
      </c>
      <c r="E1" s="4" t="s">
        <v>33</v>
      </c>
      <c r="F1" s="4" t="s">
        <v>12</v>
      </c>
      <c r="G1" s="4" t="s">
        <v>34</v>
      </c>
      <c r="H1" s="4" t="s">
        <v>35</v>
      </c>
      <c r="I1" s="1"/>
      <c r="J1" s="1"/>
      <c r="K1" s="1"/>
      <c r="L1" s="1"/>
      <c r="M1" s="1"/>
      <c r="N1" s="1"/>
      <c r="O1" s="1"/>
      <c r="P1" s="1"/>
      <c r="Q1" s="1"/>
      <c r="R1" s="1"/>
      <c r="S1" s="1"/>
      <c r="T1" s="1"/>
      <c r="U1" s="1"/>
      <c r="V1" s="1"/>
      <c r="W1" s="1"/>
      <c r="X1" s="1"/>
      <c r="Y1" s="1"/>
      <c r="Z1" s="1"/>
    </row>
    <row r="2" ht="15.75" customHeight="1">
      <c r="A2" s="1" t="s">
        <v>36</v>
      </c>
      <c r="B2" s="1" t="s">
        <v>37</v>
      </c>
      <c r="C2" s="1" t="s">
        <v>38</v>
      </c>
      <c r="D2" s="1" t="s">
        <v>39</v>
      </c>
      <c r="E2" s="1" t="s">
        <v>40</v>
      </c>
      <c r="F2" s="1" t="s">
        <v>41</v>
      </c>
      <c r="G2" s="5" t="s">
        <v>42</v>
      </c>
      <c r="H2" s="1"/>
      <c r="I2" s="1"/>
      <c r="J2" s="1"/>
      <c r="K2" s="1"/>
      <c r="L2" s="1"/>
      <c r="M2" s="1"/>
      <c r="N2" s="1"/>
      <c r="O2" s="1"/>
      <c r="P2" s="1"/>
      <c r="Q2" s="1"/>
      <c r="R2" s="1"/>
      <c r="S2" s="1"/>
      <c r="T2" s="1"/>
      <c r="U2" s="1"/>
      <c r="V2" s="1"/>
      <c r="W2" s="1"/>
      <c r="X2" s="1"/>
      <c r="Y2" s="1"/>
      <c r="Z2" s="1"/>
    </row>
    <row r="3" ht="15.75" customHeight="1">
      <c r="A3" s="1" t="s">
        <v>36</v>
      </c>
      <c r="B3" s="1" t="s">
        <v>37</v>
      </c>
      <c r="C3" s="1" t="s">
        <v>44</v>
      </c>
      <c r="D3" s="1" t="s">
        <v>45</v>
      </c>
      <c r="E3" s="1" t="s">
        <v>40</v>
      </c>
      <c r="F3" s="1" t="s">
        <v>41</v>
      </c>
      <c r="G3" s="6" t="s">
        <v>42</v>
      </c>
      <c r="H3" s="1"/>
      <c r="I3" s="1"/>
      <c r="J3" s="1"/>
      <c r="K3" s="1"/>
      <c r="L3" s="1"/>
      <c r="M3" s="1"/>
      <c r="N3" s="1"/>
      <c r="O3" s="1"/>
      <c r="P3" s="1"/>
      <c r="Q3" s="1"/>
      <c r="R3" s="1"/>
      <c r="S3" s="1"/>
      <c r="T3" s="1"/>
      <c r="U3" s="1"/>
      <c r="V3" s="1"/>
      <c r="W3" s="1"/>
      <c r="X3" s="1"/>
      <c r="Y3" s="1"/>
      <c r="Z3" s="1"/>
    </row>
    <row r="4" ht="15.75" customHeight="1">
      <c r="A4" s="1" t="s">
        <v>36</v>
      </c>
      <c r="B4" s="1" t="s">
        <v>37</v>
      </c>
      <c r="C4" s="1" t="s">
        <v>46</v>
      </c>
      <c r="D4" s="1" t="s">
        <v>47</v>
      </c>
      <c r="E4" s="1" t="s">
        <v>48</v>
      </c>
      <c r="F4" s="1" t="s">
        <v>41</v>
      </c>
      <c r="G4" s="6" t="s">
        <v>42</v>
      </c>
      <c r="H4" s="1"/>
      <c r="I4" s="1"/>
      <c r="J4" s="1"/>
      <c r="K4" s="1"/>
      <c r="L4" s="1"/>
      <c r="M4" s="1"/>
      <c r="N4" s="1"/>
      <c r="O4" s="1"/>
      <c r="P4" s="1"/>
      <c r="Q4" s="1"/>
      <c r="R4" s="1"/>
      <c r="S4" s="1"/>
      <c r="T4" s="1"/>
      <c r="U4" s="1"/>
      <c r="V4" s="1"/>
      <c r="W4" s="1"/>
      <c r="X4" s="1"/>
      <c r="Y4" s="1"/>
      <c r="Z4" s="1"/>
    </row>
    <row r="5" ht="15.75" customHeight="1">
      <c r="A5" s="1" t="s">
        <v>49</v>
      </c>
      <c r="B5" s="1" t="s">
        <v>50</v>
      </c>
      <c r="C5" s="1" t="s">
        <v>51</v>
      </c>
      <c r="D5" s="1" t="s">
        <v>52</v>
      </c>
      <c r="E5" s="1" t="s">
        <v>48</v>
      </c>
      <c r="F5" s="1" t="s">
        <v>41</v>
      </c>
      <c r="G5" s="6" t="s">
        <v>53</v>
      </c>
      <c r="H5" s="1"/>
      <c r="I5" s="1"/>
      <c r="J5" s="1"/>
      <c r="K5" s="1"/>
      <c r="L5" s="1"/>
      <c r="M5" s="1"/>
      <c r="N5" s="1"/>
      <c r="O5" s="1"/>
      <c r="P5" s="1"/>
      <c r="Q5" s="1"/>
      <c r="R5" s="1"/>
      <c r="S5" s="1"/>
      <c r="T5" s="1"/>
      <c r="U5" s="1"/>
      <c r="V5" s="1"/>
      <c r="W5" s="1"/>
      <c r="X5" s="1"/>
      <c r="Y5" s="1"/>
      <c r="Z5" s="1"/>
    </row>
    <row r="6" ht="15.75" customHeight="1">
      <c r="A6" s="1" t="s">
        <v>54</v>
      </c>
      <c r="B6" s="1" t="s">
        <v>55</v>
      </c>
      <c r="C6" s="1" t="s">
        <v>56</v>
      </c>
      <c r="D6" s="1" t="s">
        <v>57</v>
      </c>
      <c r="E6" s="1" t="s">
        <v>48</v>
      </c>
      <c r="F6" s="1" t="s">
        <v>41</v>
      </c>
      <c r="G6" s="5" t="s">
        <v>58</v>
      </c>
      <c r="H6" s="1"/>
      <c r="I6" s="1"/>
      <c r="J6" s="1"/>
      <c r="K6" s="1"/>
      <c r="L6" s="1"/>
      <c r="M6" s="1"/>
      <c r="N6" s="1"/>
      <c r="O6" s="1"/>
      <c r="P6" s="1"/>
      <c r="Q6" s="1"/>
      <c r="R6" s="1"/>
      <c r="S6" s="1"/>
      <c r="T6" s="1"/>
      <c r="U6" s="1"/>
      <c r="V6" s="1"/>
      <c r="W6" s="1"/>
      <c r="X6" s="1"/>
      <c r="Y6" s="1"/>
      <c r="Z6" s="1"/>
    </row>
    <row r="7" ht="15.75" customHeight="1">
      <c r="A7" s="1" t="s">
        <v>54</v>
      </c>
      <c r="B7" s="1" t="s">
        <v>59</v>
      </c>
      <c r="C7" s="1" t="s">
        <v>56</v>
      </c>
      <c r="D7" s="1" t="s">
        <v>57</v>
      </c>
      <c r="E7" s="1" t="s">
        <v>48</v>
      </c>
      <c r="F7" s="1" t="s">
        <v>41</v>
      </c>
      <c r="G7" s="5" t="s">
        <v>58</v>
      </c>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8.75"/>
    <col customWidth="1" min="11" max="26" width="8.63"/>
  </cols>
  <sheetData>
    <row r="1" ht="15.75" customHeight="1">
      <c r="A1" s="1" t="s">
        <v>18</v>
      </c>
      <c r="B1" s="1" t="s">
        <v>20</v>
      </c>
      <c r="C1" s="1" t="s">
        <v>21</v>
      </c>
      <c r="D1" s="1" t="s">
        <v>22</v>
      </c>
      <c r="E1" s="1" t="s">
        <v>23</v>
      </c>
      <c r="F1" s="1" t="s">
        <v>24</v>
      </c>
      <c r="G1" s="1" t="s">
        <v>25</v>
      </c>
      <c r="H1" s="1" t="s">
        <v>26</v>
      </c>
      <c r="I1" s="1" t="s">
        <v>27</v>
      </c>
      <c r="J1" s="1" t="s">
        <v>28</v>
      </c>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15.5"/>
    <col customWidth="1" min="3" max="3" width="13.75"/>
    <col customWidth="1" min="4" max="4" width="16.25"/>
    <col customWidth="1" min="5" max="5" width="24.0"/>
    <col customWidth="1" min="6" max="6" width="8.63"/>
    <col customWidth="1" min="7" max="7" width="23.5"/>
    <col customWidth="1" min="8" max="8" width="29.13"/>
    <col customWidth="1" min="9" max="9" width="8.63"/>
    <col customWidth="1" min="10" max="10" width="17.0"/>
    <col customWidth="1" min="11" max="26" width="8.63"/>
  </cols>
  <sheetData>
    <row r="1" ht="15.75" customHeight="1">
      <c r="A1" s="7" t="s">
        <v>60</v>
      </c>
      <c r="B1" s="7" t="s">
        <v>61</v>
      </c>
      <c r="C1" s="7" t="s">
        <v>33</v>
      </c>
      <c r="D1" s="7" t="s">
        <v>62</v>
      </c>
      <c r="E1" s="8" t="s">
        <v>63</v>
      </c>
      <c r="F1" s="7" t="s">
        <v>64</v>
      </c>
      <c r="G1" s="7" t="s">
        <v>34</v>
      </c>
      <c r="H1" s="7" t="s">
        <v>35</v>
      </c>
      <c r="I1" s="7" t="s">
        <v>65</v>
      </c>
      <c r="J1" s="7" t="s">
        <v>66</v>
      </c>
    </row>
    <row r="2" ht="12.75" customHeight="1">
      <c r="A2" s="9" t="s">
        <v>67</v>
      </c>
      <c r="B2" s="9" t="s">
        <v>68</v>
      </c>
      <c r="C2" s="9" t="s">
        <v>69</v>
      </c>
      <c r="D2" s="9" t="s">
        <v>70</v>
      </c>
      <c r="E2" s="10" t="s">
        <v>71</v>
      </c>
      <c r="F2" s="9" t="s">
        <v>41</v>
      </c>
      <c r="G2" s="11" t="s">
        <v>72</v>
      </c>
      <c r="H2" s="9"/>
      <c r="I2" s="9" t="s">
        <v>73</v>
      </c>
      <c r="J2" s="12" t="s">
        <v>74</v>
      </c>
    </row>
    <row r="3" ht="15.75" customHeight="1">
      <c r="A3" s="9"/>
      <c r="B3" s="9"/>
      <c r="C3" s="9" t="s">
        <v>48</v>
      </c>
      <c r="D3" s="9" t="s">
        <v>75</v>
      </c>
      <c r="E3" s="9" t="s">
        <v>76</v>
      </c>
      <c r="F3" s="9" t="s">
        <v>41</v>
      </c>
      <c r="G3" s="11" t="s">
        <v>72</v>
      </c>
      <c r="H3" s="9"/>
      <c r="I3" s="9" t="s">
        <v>73</v>
      </c>
      <c r="J3" s="9"/>
    </row>
    <row r="4" ht="15.75" customHeight="1">
      <c r="A4" s="9"/>
      <c r="B4" s="9"/>
      <c r="C4" s="9" t="s">
        <v>48</v>
      </c>
      <c r="D4" s="9" t="s">
        <v>77</v>
      </c>
      <c r="E4" s="9" t="s">
        <v>78</v>
      </c>
      <c r="F4" s="9" t="s">
        <v>41</v>
      </c>
      <c r="G4" s="5" t="s">
        <v>79</v>
      </c>
      <c r="H4" s="9"/>
      <c r="I4" s="9" t="s">
        <v>73</v>
      </c>
      <c r="J4" s="9"/>
    </row>
    <row r="5" ht="15.75" customHeight="1">
      <c r="A5" s="9"/>
      <c r="B5" s="9"/>
      <c r="C5" s="9" t="s">
        <v>40</v>
      </c>
      <c r="D5" s="9" t="s">
        <v>80</v>
      </c>
      <c r="E5" s="9" t="s">
        <v>81</v>
      </c>
      <c r="F5" s="9" t="s">
        <v>41</v>
      </c>
      <c r="G5" s="5" t="s">
        <v>82</v>
      </c>
      <c r="H5" s="9"/>
      <c r="I5" s="9" t="s">
        <v>73</v>
      </c>
      <c r="J5" s="9"/>
    </row>
    <row r="6" ht="15.75" customHeight="1">
      <c r="A6" s="9"/>
      <c r="B6" s="9"/>
      <c r="C6" s="9" t="s">
        <v>48</v>
      </c>
      <c r="D6" s="9" t="s">
        <v>83</v>
      </c>
      <c r="E6" s="9" t="s">
        <v>84</v>
      </c>
      <c r="F6" s="9" t="s">
        <v>41</v>
      </c>
      <c r="G6" s="11" t="s">
        <v>85</v>
      </c>
      <c r="H6" s="9"/>
      <c r="I6" s="9" t="s">
        <v>73</v>
      </c>
      <c r="J6" s="9"/>
    </row>
    <row r="7" ht="15.75" customHeight="1">
      <c r="A7" s="9"/>
      <c r="B7" s="9"/>
      <c r="C7" s="9" t="s">
        <v>40</v>
      </c>
      <c r="D7" s="9" t="s">
        <v>86</v>
      </c>
      <c r="E7" s="9" t="s">
        <v>87</v>
      </c>
      <c r="F7" s="9" t="s">
        <v>41</v>
      </c>
      <c r="G7" s="11" t="s">
        <v>85</v>
      </c>
      <c r="H7" s="9"/>
      <c r="I7" s="9" t="s">
        <v>73</v>
      </c>
      <c r="J7" s="9"/>
    </row>
    <row r="8" ht="15.75" customHeight="1">
      <c r="A8" s="9" t="s">
        <v>88</v>
      </c>
      <c r="B8" s="9" t="s">
        <v>89</v>
      </c>
      <c r="C8" s="13" t="s">
        <v>40</v>
      </c>
      <c r="D8" s="13" t="s">
        <v>90</v>
      </c>
      <c r="E8" s="13" t="s">
        <v>91</v>
      </c>
      <c r="F8" s="9" t="s">
        <v>41</v>
      </c>
      <c r="G8" s="11" t="s">
        <v>92</v>
      </c>
      <c r="H8" s="9"/>
      <c r="I8" s="13" t="s">
        <v>93</v>
      </c>
      <c r="J8" s="14" t="s">
        <v>94</v>
      </c>
    </row>
    <row r="9" ht="15.75" customHeight="1">
      <c r="A9" s="9"/>
      <c r="B9" s="9"/>
      <c r="C9" s="13" t="s">
        <v>48</v>
      </c>
      <c r="D9" s="13" t="s">
        <v>95</v>
      </c>
      <c r="E9" s="13" t="s">
        <v>96</v>
      </c>
      <c r="F9" s="9" t="s">
        <v>41</v>
      </c>
      <c r="G9" s="11" t="s">
        <v>97</v>
      </c>
      <c r="H9" s="9"/>
      <c r="I9" s="13" t="s">
        <v>93</v>
      </c>
      <c r="J9" s="9"/>
    </row>
    <row r="10" ht="15.75" customHeight="1">
      <c r="A10" s="9"/>
      <c r="B10" s="9"/>
      <c r="C10" s="13" t="s">
        <v>48</v>
      </c>
      <c r="D10" s="13" t="s">
        <v>98</v>
      </c>
      <c r="E10" s="13" t="s">
        <v>99</v>
      </c>
      <c r="F10" s="9" t="s">
        <v>41</v>
      </c>
      <c r="G10" s="11" t="s">
        <v>100</v>
      </c>
      <c r="H10" s="9"/>
      <c r="I10" s="13" t="s">
        <v>93</v>
      </c>
      <c r="J10" s="9"/>
    </row>
    <row r="11" ht="15.75" customHeight="1">
      <c r="A11" s="9"/>
      <c r="B11" s="9"/>
      <c r="C11" s="13" t="s">
        <v>48</v>
      </c>
      <c r="D11" s="13" t="s">
        <v>101</v>
      </c>
      <c r="E11" s="13" t="s">
        <v>102</v>
      </c>
      <c r="F11" s="9" t="s">
        <v>41</v>
      </c>
      <c r="G11" s="11" t="s">
        <v>103</v>
      </c>
      <c r="H11" s="9"/>
      <c r="I11" s="13" t="s">
        <v>93</v>
      </c>
      <c r="J11" s="9"/>
    </row>
    <row r="12" ht="15.75" customHeight="1">
      <c r="A12" s="9"/>
      <c r="B12" s="9"/>
      <c r="C12" s="13" t="s">
        <v>40</v>
      </c>
      <c r="D12" s="13" t="s">
        <v>104</v>
      </c>
      <c r="E12" s="13" t="s">
        <v>105</v>
      </c>
      <c r="F12" s="9" t="s">
        <v>41</v>
      </c>
      <c r="G12" s="11" t="s">
        <v>103</v>
      </c>
      <c r="H12" s="9"/>
      <c r="I12" s="13" t="s">
        <v>93</v>
      </c>
      <c r="J12" s="9"/>
    </row>
    <row r="13" ht="12.75" customHeight="1">
      <c r="A13" s="9" t="s">
        <v>106</v>
      </c>
      <c r="B13" s="9">
        <v>18.4</v>
      </c>
      <c r="C13" s="13" t="s">
        <v>40</v>
      </c>
      <c r="D13" s="13" t="s">
        <v>107</v>
      </c>
      <c r="E13" s="13" t="s">
        <v>108</v>
      </c>
      <c r="F13" s="9" t="s">
        <v>41</v>
      </c>
      <c r="G13" s="11" t="s">
        <v>109</v>
      </c>
      <c r="H13" s="9"/>
      <c r="I13" s="13" t="s">
        <v>110</v>
      </c>
      <c r="J13" s="12" t="s">
        <v>111</v>
      </c>
    </row>
    <row r="14" ht="15.75" customHeight="1">
      <c r="A14" s="9"/>
      <c r="B14" s="9"/>
      <c r="C14" s="13" t="s">
        <v>48</v>
      </c>
      <c r="D14" s="13" t="s">
        <v>112</v>
      </c>
      <c r="E14" s="13" t="s">
        <v>113</v>
      </c>
      <c r="F14" s="9" t="s">
        <v>41</v>
      </c>
      <c r="G14" s="11" t="s">
        <v>109</v>
      </c>
      <c r="H14" s="9"/>
      <c r="I14" s="13" t="s">
        <v>110</v>
      </c>
      <c r="J14" s="9"/>
    </row>
    <row r="15" ht="15.75" customHeight="1">
      <c r="A15" s="9"/>
      <c r="B15" s="9"/>
      <c r="C15" s="13" t="s">
        <v>69</v>
      </c>
      <c r="D15" s="13" t="s">
        <v>114</v>
      </c>
      <c r="E15" s="13" t="s">
        <v>115</v>
      </c>
      <c r="F15" s="9" t="s">
        <v>41</v>
      </c>
      <c r="G15" s="11" t="s">
        <v>109</v>
      </c>
      <c r="H15" s="9"/>
      <c r="I15" s="13" t="s">
        <v>110</v>
      </c>
      <c r="J15" s="9"/>
    </row>
    <row r="16" ht="15.75" customHeight="1">
      <c r="A16" s="9"/>
      <c r="B16" s="9"/>
      <c r="C16" s="13" t="s">
        <v>40</v>
      </c>
      <c r="D16" s="13" t="s">
        <v>116</v>
      </c>
      <c r="E16" s="13" t="s">
        <v>117</v>
      </c>
      <c r="F16" s="9" t="s">
        <v>41</v>
      </c>
      <c r="G16" s="11" t="s">
        <v>109</v>
      </c>
      <c r="H16" s="9"/>
      <c r="I16" s="13" t="s">
        <v>110</v>
      </c>
      <c r="J16" s="9"/>
    </row>
    <row r="17" ht="15.75" customHeight="1">
      <c r="A17" s="9"/>
      <c r="B17" s="9"/>
      <c r="C17" s="13" t="s">
        <v>40</v>
      </c>
      <c r="D17" s="13" t="s">
        <v>118</v>
      </c>
      <c r="E17" s="13" t="s">
        <v>119</v>
      </c>
      <c r="F17" s="9" t="s">
        <v>41</v>
      </c>
      <c r="G17" s="11" t="s">
        <v>109</v>
      </c>
      <c r="H17" s="9"/>
      <c r="I17" s="13" t="s">
        <v>110</v>
      </c>
      <c r="J17" s="9"/>
    </row>
    <row r="18" ht="15.75" customHeight="1">
      <c r="A18" s="9"/>
      <c r="B18" s="9"/>
      <c r="C18" s="13" t="s">
        <v>40</v>
      </c>
      <c r="D18" s="13" t="s">
        <v>120</v>
      </c>
      <c r="E18" s="13" t="s">
        <v>121</v>
      </c>
      <c r="F18" s="9" t="s">
        <v>41</v>
      </c>
      <c r="G18" s="11" t="s">
        <v>109</v>
      </c>
      <c r="H18" s="9"/>
      <c r="I18" s="13" t="s">
        <v>110</v>
      </c>
      <c r="J18" s="9"/>
    </row>
    <row r="19" ht="15.75" customHeight="1">
      <c r="A19" s="9"/>
      <c r="B19" s="9"/>
      <c r="C19" s="13" t="s">
        <v>48</v>
      </c>
      <c r="D19" s="13" t="s">
        <v>122</v>
      </c>
      <c r="E19" s="13" t="s">
        <v>123</v>
      </c>
      <c r="F19" s="9" t="s">
        <v>41</v>
      </c>
      <c r="G19" s="11" t="s">
        <v>109</v>
      </c>
      <c r="H19" s="9"/>
      <c r="I19" s="13" t="s">
        <v>110</v>
      </c>
      <c r="J19" s="9"/>
    </row>
    <row r="20" ht="15.75" customHeight="1">
      <c r="A20" s="9"/>
      <c r="B20" s="9"/>
      <c r="C20" s="13" t="s">
        <v>69</v>
      </c>
      <c r="D20" s="13" t="s">
        <v>124</v>
      </c>
      <c r="E20" s="13" t="s">
        <v>125</v>
      </c>
      <c r="F20" s="9" t="s">
        <v>41</v>
      </c>
      <c r="G20" s="11" t="s">
        <v>109</v>
      </c>
      <c r="H20" s="9"/>
      <c r="I20" s="13" t="s">
        <v>110</v>
      </c>
      <c r="J20" s="9"/>
    </row>
    <row r="21" ht="15.75" customHeight="1">
      <c r="A21" s="9"/>
      <c r="B21" s="9"/>
      <c r="C21" s="13" t="s">
        <v>40</v>
      </c>
      <c r="D21" s="13" t="s">
        <v>126</v>
      </c>
      <c r="E21" s="13" t="s">
        <v>127</v>
      </c>
      <c r="F21" s="9" t="s">
        <v>41</v>
      </c>
      <c r="G21" s="11" t="s">
        <v>109</v>
      </c>
      <c r="H21" s="9"/>
      <c r="I21" s="13" t="s">
        <v>110</v>
      </c>
      <c r="J21" s="9"/>
    </row>
    <row r="22" ht="15.75" customHeight="1">
      <c r="A22" s="9"/>
      <c r="B22" s="9"/>
      <c r="C22" s="13" t="s">
        <v>40</v>
      </c>
      <c r="D22" s="13" t="s">
        <v>128</v>
      </c>
      <c r="E22" s="13" t="s">
        <v>129</v>
      </c>
      <c r="F22" s="9" t="s">
        <v>41</v>
      </c>
      <c r="G22" s="11" t="s">
        <v>109</v>
      </c>
      <c r="H22" s="9"/>
      <c r="I22" s="13" t="s">
        <v>110</v>
      </c>
      <c r="J22" s="9"/>
    </row>
    <row r="23" ht="15.75" customHeight="1">
      <c r="A23" s="9"/>
      <c r="B23" s="9"/>
      <c r="C23" s="13" t="s">
        <v>40</v>
      </c>
      <c r="D23" s="13" t="s">
        <v>130</v>
      </c>
      <c r="E23" s="13" t="s">
        <v>131</v>
      </c>
      <c r="F23" s="9" t="s">
        <v>41</v>
      </c>
      <c r="G23" s="11" t="s">
        <v>109</v>
      </c>
      <c r="H23" s="9"/>
      <c r="I23" s="13" t="s">
        <v>110</v>
      </c>
      <c r="J23" s="9"/>
    </row>
    <row r="24" ht="15.75" customHeight="1">
      <c r="A24" s="9"/>
      <c r="B24" s="9"/>
      <c r="C24" s="13" t="s">
        <v>40</v>
      </c>
      <c r="D24" s="13" t="s">
        <v>132</v>
      </c>
      <c r="E24" s="13" t="s">
        <v>133</v>
      </c>
      <c r="F24" s="9" t="s">
        <v>41</v>
      </c>
      <c r="G24" s="11" t="s">
        <v>109</v>
      </c>
      <c r="H24" s="9"/>
      <c r="I24" s="13" t="s">
        <v>110</v>
      </c>
      <c r="J24" s="9"/>
    </row>
    <row r="25" ht="15.75" customHeight="1">
      <c r="A25" s="9"/>
      <c r="B25" s="9"/>
      <c r="C25" s="13" t="s">
        <v>48</v>
      </c>
      <c r="D25" s="13" t="s">
        <v>134</v>
      </c>
      <c r="E25" s="13" t="s">
        <v>135</v>
      </c>
      <c r="F25" s="9" t="s">
        <v>41</v>
      </c>
      <c r="G25" s="11" t="s">
        <v>109</v>
      </c>
      <c r="H25" s="9"/>
      <c r="I25" s="13" t="s">
        <v>110</v>
      </c>
      <c r="J25" s="9"/>
    </row>
    <row r="26" ht="15.75" customHeight="1">
      <c r="A26" s="9"/>
      <c r="B26" s="9"/>
      <c r="C26" s="13" t="s">
        <v>40</v>
      </c>
      <c r="D26" s="13" t="s">
        <v>136</v>
      </c>
      <c r="E26" s="13" t="s">
        <v>137</v>
      </c>
      <c r="F26" s="9" t="s">
        <v>41</v>
      </c>
      <c r="G26" s="11" t="s">
        <v>109</v>
      </c>
      <c r="H26" s="9"/>
      <c r="I26" s="13" t="s">
        <v>110</v>
      </c>
      <c r="J26" s="9"/>
    </row>
    <row r="27" ht="15.75" customHeight="1">
      <c r="A27" s="9"/>
      <c r="B27" s="9"/>
      <c r="C27" s="13" t="s">
        <v>40</v>
      </c>
      <c r="D27" s="13" t="s">
        <v>138</v>
      </c>
      <c r="E27" s="13" t="s">
        <v>139</v>
      </c>
      <c r="F27" s="9" t="s">
        <v>41</v>
      </c>
      <c r="G27" s="11" t="s">
        <v>109</v>
      </c>
      <c r="H27" s="9"/>
      <c r="I27" s="13" t="s">
        <v>110</v>
      </c>
      <c r="J27" s="9"/>
    </row>
    <row r="28" ht="15.75" customHeight="1">
      <c r="A28" s="9"/>
      <c r="B28" s="9"/>
      <c r="C28" s="13" t="s">
        <v>48</v>
      </c>
      <c r="D28" s="13" t="s">
        <v>140</v>
      </c>
      <c r="E28" s="13" t="s">
        <v>141</v>
      </c>
      <c r="F28" s="9" t="s">
        <v>41</v>
      </c>
      <c r="G28" s="11" t="s">
        <v>109</v>
      </c>
      <c r="H28" s="9"/>
      <c r="I28" s="13" t="s">
        <v>110</v>
      </c>
      <c r="J28" s="9"/>
    </row>
    <row r="29" ht="15.75" customHeight="1">
      <c r="A29" s="9"/>
      <c r="B29" s="9"/>
      <c r="C29" s="13" t="s">
        <v>40</v>
      </c>
      <c r="D29" s="13" t="s">
        <v>142</v>
      </c>
      <c r="E29" s="13" t="s">
        <v>143</v>
      </c>
      <c r="F29" s="9" t="s">
        <v>41</v>
      </c>
      <c r="G29" s="11" t="s">
        <v>109</v>
      </c>
      <c r="H29" s="9"/>
      <c r="I29" s="13" t="s">
        <v>110</v>
      </c>
      <c r="J29" s="9"/>
    </row>
    <row r="30" ht="15.75" customHeight="1">
      <c r="A30" s="9"/>
      <c r="B30" s="9"/>
      <c r="C30" s="13" t="s">
        <v>40</v>
      </c>
      <c r="D30" s="13" t="s">
        <v>144</v>
      </c>
      <c r="E30" s="13" t="s">
        <v>145</v>
      </c>
      <c r="F30" s="9" t="s">
        <v>41</v>
      </c>
      <c r="G30" s="11" t="s">
        <v>109</v>
      </c>
      <c r="H30" s="9"/>
      <c r="I30" s="13" t="s">
        <v>110</v>
      </c>
      <c r="J30" s="9"/>
    </row>
    <row r="31" ht="15.75" customHeight="1">
      <c r="A31" s="9"/>
      <c r="B31" s="9"/>
      <c r="C31" s="13" t="s">
        <v>69</v>
      </c>
      <c r="D31" s="13" t="s">
        <v>146</v>
      </c>
      <c r="E31" s="13" t="s">
        <v>147</v>
      </c>
      <c r="F31" s="9" t="s">
        <v>41</v>
      </c>
      <c r="G31" s="11" t="s">
        <v>109</v>
      </c>
      <c r="H31" s="9"/>
      <c r="I31" s="13" t="s">
        <v>110</v>
      </c>
      <c r="J31" s="9"/>
    </row>
    <row r="32" ht="15.75" customHeight="1">
      <c r="A32" s="9"/>
      <c r="B32" s="9"/>
      <c r="C32" s="13" t="s">
        <v>48</v>
      </c>
      <c r="D32" s="13" t="s">
        <v>148</v>
      </c>
      <c r="E32" s="13" t="s">
        <v>149</v>
      </c>
      <c r="F32" s="9" t="s">
        <v>41</v>
      </c>
      <c r="G32" s="11" t="s">
        <v>109</v>
      </c>
      <c r="H32" s="9"/>
      <c r="I32" s="13" t="s">
        <v>110</v>
      </c>
      <c r="J32" s="9"/>
    </row>
    <row r="33" ht="15.75" customHeight="1">
      <c r="A33" s="9"/>
      <c r="B33" s="9"/>
      <c r="C33" s="13" t="s">
        <v>40</v>
      </c>
      <c r="D33" s="13" t="s">
        <v>150</v>
      </c>
      <c r="E33" s="13" t="s">
        <v>151</v>
      </c>
      <c r="F33" s="9" t="s">
        <v>41</v>
      </c>
      <c r="G33" s="11" t="s">
        <v>109</v>
      </c>
      <c r="H33" s="9"/>
      <c r="I33" s="13" t="s">
        <v>110</v>
      </c>
      <c r="J33" s="9"/>
    </row>
    <row r="34" ht="15.75" customHeight="1">
      <c r="A34" s="9"/>
      <c r="B34" s="9"/>
      <c r="C34" s="13" t="s">
        <v>40</v>
      </c>
      <c r="D34" s="13" t="s">
        <v>152</v>
      </c>
      <c r="E34" s="13" t="s">
        <v>153</v>
      </c>
      <c r="F34" s="9" t="s">
        <v>41</v>
      </c>
      <c r="G34" s="11" t="s">
        <v>109</v>
      </c>
      <c r="H34" s="9"/>
      <c r="I34" s="13" t="s">
        <v>110</v>
      </c>
      <c r="J34" s="9"/>
    </row>
    <row r="35" ht="15.75" customHeight="1">
      <c r="A35" s="9"/>
      <c r="B35" s="9"/>
      <c r="C35" s="13" t="s">
        <v>40</v>
      </c>
      <c r="D35" s="13" t="s">
        <v>154</v>
      </c>
      <c r="E35" s="13" t="s">
        <v>155</v>
      </c>
      <c r="F35" s="9" t="s">
        <v>41</v>
      </c>
      <c r="G35" s="11" t="s">
        <v>109</v>
      </c>
      <c r="H35" s="9"/>
      <c r="I35" s="13" t="s">
        <v>110</v>
      </c>
      <c r="J35" s="9"/>
    </row>
    <row r="36" ht="15.75" customHeight="1">
      <c r="A36" s="9"/>
      <c r="B36" s="9"/>
      <c r="C36" s="13" t="s">
        <v>40</v>
      </c>
      <c r="D36" s="13" t="s">
        <v>156</v>
      </c>
      <c r="E36" s="13" t="s">
        <v>157</v>
      </c>
      <c r="F36" s="9" t="s">
        <v>41</v>
      </c>
      <c r="G36" s="11" t="s">
        <v>109</v>
      </c>
      <c r="H36" s="9"/>
      <c r="I36" s="13" t="s">
        <v>110</v>
      </c>
      <c r="J36" s="9"/>
    </row>
    <row r="37" ht="15.75" customHeight="1">
      <c r="A37" s="9"/>
      <c r="B37" s="9"/>
      <c r="C37" s="13" t="s">
        <v>48</v>
      </c>
      <c r="D37" s="13" t="s">
        <v>158</v>
      </c>
      <c r="E37" s="13" t="s">
        <v>159</v>
      </c>
      <c r="F37" s="9" t="s">
        <v>41</v>
      </c>
      <c r="G37" s="11" t="s">
        <v>109</v>
      </c>
      <c r="H37" s="9"/>
      <c r="I37" s="13" t="s">
        <v>110</v>
      </c>
      <c r="J37" s="9"/>
    </row>
    <row r="38" ht="15.75" customHeight="1">
      <c r="A38" s="9"/>
      <c r="B38" s="9"/>
      <c r="C38" s="13" t="s">
        <v>40</v>
      </c>
      <c r="D38" s="13" t="s">
        <v>160</v>
      </c>
      <c r="E38" s="13" t="s">
        <v>161</v>
      </c>
      <c r="F38" s="9" t="s">
        <v>41</v>
      </c>
      <c r="G38" s="11" t="s">
        <v>109</v>
      </c>
      <c r="H38" s="9"/>
      <c r="I38" s="13" t="s">
        <v>110</v>
      </c>
      <c r="J38" s="9"/>
    </row>
    <row r="39" ht="15.75" customHeight="1">
      <c r="A39" s="9"/>
      <c r="B39" s="9"/>
      <c r="C39" s="13" t="s">
        <v>48</v>
      </c>
      <c r="D39" s="13" t="s">
        <v>162</v>
      </c>
      <c r="E39" s="13" t="s">
        <v>163</v>
      </c>
      <c r="F39" s="9" t="s">
        <v>41</v>
      </c>
      <c r="G39" s="11" t="s">
        <v>109</v>
      </c>
      <c r="H39" s="9"/>
      <c r="I39" s="13" t="s">
        <v>110</v>
      </c>
      <c r="J39" s="9"/>
    </row>
    <row r="40" ht="15.75" customHeight="1">
      <c r="A40" s="9"/>
      <c r="B40" s="9"/>
      <c r="C40" s="13" t="s">
        <v>40</v>
      </c>
      <c r="D40" s="13" t="s">
        <v>164</v>
      </c>
      <c r="E40" s="13" t="s">
        <v>165</v>
      </c>
      <c r="F40" s="9" t="s">
        <v>41</v>
      </c>
      <c r="G40" s="11" t="s">
        <v>109</v>
      </c>
      <c r="H40" s="9"/>
      <c r="I40" s="13" t="s">
        <v>110</v>
      </c>
      <c r="J40" s="9"/>
    </row>
    <row r="41" ht="15.75" customHeight="1">
      <c r="A41" s="9"/>
      <c r="B41" s="9"/>
      <c r="C41" s="13" t="s">
        <v>48</v>
      </c>
      <c r="D41" s="13" t="s">
        <v>166</v>
      </c>
      <c r="E41" s="13" t="s">
        <v>167</v>
      </c>
      <c r="F41" s="9" t="s">
        <v>41</v>
      </c>
      <c r="G41" s="11" t="s">
        <v>168</v>
      </c>
      <c r="H41" s="9"/>
      <c r="I41" s="13" t="s">
        <v>110</v>
      </c>
      <c r="J41" s="9"/>
    </row>
    <row r="42" ht="15.75" customHeight="1">
      <c r="A42" s="9"/>
      <c r="B42" s="9"/>
      <c r="C42" s="13" t="s">
        <v>40</v>
      </c>
      <c r="D42" s="13" t="s">
        <v>169</v>
      </c>
      <c r="E42" s="13" t="s">
        <v>170</v>
      </c>
      <c r="F42" s="9" t="s">
        <v>41</v>
      </c>
      <c r="G42" s="11" t="s">
        <v>168</v>
      </c>
      <c r="H42" s="9"/>
      <c r="I42" s="13" t="s">
        <v>110</v>
      </c>
      <c r="J42" s="9"/>
    </row>
    <row r="43" ht="15.75" customHeight="1">
      <c r="A43" s="9" t="s">
        <v>171</v>
      </c>
      <c r="B43" s="9" t="s">
        <v>172</v>
      </c>
      <c r="C43" s="15" t="s">
        <v>173</v>
      </c>
      <c r="D43" s="15"/>
      <c r="E43" s="15"/>
      <c r="F43" s="9"/>
      <c r="G43" s="9"/>
      <c r="H43" s="9"/>
      <c r="I43" s="9"/>
      <c r="J43" s="16" t="s">
        <v>174</v>
      </c>
    </row>
    <row r="44" ht="15.75" customHeight="1">
      <c r="A44" s="9" t="s">
        <v>175</v>
      </c>
      <c r="B44" s="9" t="s">
        <v>176</v>
      </c>
      <c r="C44" s="15" t="s">
        <v>173</v>
      </c>
      <c r="D44" s="15"/>
      <c r="E44" s="15"/>
      <c r="F44" s="9"/>
      <c r="G44" s="9"/>
      <c r="H44" s="9"/>
      <c r="I44" s="9"/>
      <c r="J44" s="17" t="s">
        <v>177</v>
      </c>
    </row>
    <row r="45" ht="15.75" customHeight="1">
      <c r="A45" s="9" t="s">
        <v>178</v>
      </c>
      <c r="B45" s="9" t="s">
        <v>179</v>
      </c>
      <c r="C45" s="15" t="s">
        <v>173</v>
      </c>
      <c r="D45" s="15"/>
      <c r="E45" s="15"/>
      <c r="F45" s="9"/>
      <c r="G45" s="9"/>
      <c r="H45" s="9"/>
      <c r="I45" s="9"/>
      <c r="J45" s="16" t="s">
        <v>174</v>
      </c>
    </row>
    <row r="46" ht="15.75" customHeight="1">
      <c r="A46" s="9"/>
      <c r="B46" s="9"/>
      <c r="C46" s="9"/>
      <c r="D46" s="9"/>
      <c r="E46" s="9"/>
      <c r="F46" s="9"/>
      <c r="G46" s="9"/>
      <c r="H46" s="9"/>
      <c r="I46" s="9"/>
    </row>
    <row r="47" ht="15.75" customHeight="1">
      <c r="A47" s="9"/>
      <c r="B47" s="9"/>
      <c r="C47" s="9"/>
      <c r="D47" s="9"/>
      <c r="E47" s="9"/>
      <c r="F47" s="9"/>
      <c r="G47" s="9"/>
      <c r="H47" s="9"/>
      <c r="I47" s="9"/>
      <c r="J47" s="9"/>
    </row>
    <row r="48" ht="15.75" customHeight="1">
      <c r="A48" s="9"/>
      <c r="B48" s="9"/>
      <c r="C48" s="9"/>
      <c r="D48" s="9"/>
      <c r="E48" s="9"/>
      <c r="F48" s="9"/>
      <c r="G48" s="9"/>
      <c r="H48" s="9"/>
      <c r="I48" s="9"/>
      <c r="J48" s="9"/>
    </row>
    <row r="49" ht="15.75" customHeight="1">
      <c r="A49" s="9"/>
      <c r="B49" s="9"/>
      <c r="C49" s="9"/>
      <c r="D49" s="9"/>
      <c r="E49" s="9"/>
      <c r="F49" s="9"/>
      <c r="G49" s="9"/>
      <c r="H49" s="9"/>
      <c r="I49" s="9"/>
      <c r="J49" s="9"/>
    </row>
    <row r="50" ht="15.75" customHeight="1">
      <c r="A50" s="9"/>
      <c r="B50" s="9"/>
      <c r="C50" s="9"/>
      <c r="D50" s="9"/>
      <c r="E50" s="9"/>
      <c r="F50" s="9"/>
      <c r="G50" s="9"/>
      <c r="H50" s="9"/>
      <c r="I50" s="9"/>
      <c r="J50" s="9"/>
    </row>
    <row r="51" ht="15.75" customHeight="1">
      <c r="A51" s="9"/>
      <c r="B51" s="9"/>
      <c r="C51" s="9"/>
      <c r="D51" s="9"/>
      <c r="E51" s="9"/>
      <c r="F51" s="9"/>
      <c r="G51" s="9"/>
      <c r="H51" s="9"/>
      <c r="I51" s="9"/>
      <c r="J51" s="9"/>
    </row>
    <row r="52" ht="15.75" customHeight="1">
      <c r="A52" s="9"/>
      <c r="B52" s="9"/>
      <c r="C52" s="9"/>
      <c r="D52" s="9"/>
      <c r="E52" s="9"/>
      <c r="F52" s="9"/>
      <c r="G52" s="9"/>
      <c r="H52" s="9"/>
      <c r="I52" s="9"/>
      <c r="J52" s="9"/>
    </row>
    <row r="53" ht="15.75" customHeight="1">
      <c r="A53" s="9"/>
      <c r="B53" s="9"/>
      <c r="C53" s="9"/>
      <c r="D53" s="9"/>
      <c r="E53" s="9"/>
      <c r="F53" s="9"/>
      <c r="G53" s="9"/>
      <c r="H53" s="9"/>
      <c r="I53" s="9"/>
      <c r="J53" s="9"/>
    </row>
    <row r="54" ht="15.75" customHeight="1">
      <c r="A54" s="9"/>
      <c r="B54" s="9"/>
      <c r="C54" s="9"/>
      <c r="D54" s="9"/>
      <c r="E54" s="9"/>
      <c r="F54" s="9"/>
      <c r="G54" s="9"/>
      <c r="H54" s="9"/>
      <c r="I54" s="9"/>
      <c r="J54" s="9"/>
    </row>
    <row r="55" ht="15.75" customHeight="1">
      <c r="A55" s="9"/>
      <c r="B55" s="9"/>
      <c r="C55" s="9"/>
      <c r="D55" s="9"/>
      <c r="E55" s="9"/>
      <c r="F55" s="9"/>
      <c r="G55" s="9"/>
      <c r="H55" s="9"/>
      <c r="I55" s="9"/>
      <c r="J55" s="9"/>
    </row>
    <row r="56" ht="15.75" customHeight="1">
      <c r="A56" s="9"/>
      <c r="B56" s="9"/>
      <c r="C56" s="9"/>
      <c r="D56" s="9"/>
      <c r="E56" s="9"/>
      <c r="F56" s="9"/>
      <c r="G56" s="9"/>
      <c r="H56" s="9"/>
      <c r="I56" s="9"/>
      <c r="J56" s="9"/>
    </row>
    <row r="57" ht="15.75" customHeight="1">
      <c r="A57" s="9"/>
      <c r="B57" s="9"/>
      <c r="C57" s="9"/>
      <c r="D57" s="9"/>
      <c r="E57" s="9"/>
      <c r="F57" s="9"/>
      <c r="G57" s="9"/>
      <c r="H57" s="9"/>
      <c r="I57" s="9"/>
      <c r="J57" s="9"/>
    </row>
    <row r="58" ht="15.75" customHeight="1">
      <c r="A58" s="9"/>
      <c r="B58" s="9"/>
      <c r="C58" s="9"/>
      <c r="D58" s="9"/>
      <c r="E58" s="9"/>
      <c r="F58" s="9"/>
      <c r="G58" s="9"/>
      <c r="H58" s="9"/>
      <c r="I58" s="9"/>
      <c r="J58" s="9"/>
    </row>
    <row r="59" ht="15.75" customHeight="1">
      <c r="A59" s="9"/>
      <c r="B59" s="9"/>
      <c r="C59" s="9"/>
      <c r="D59" s="9"/>
      <c r="E59" s="9"/>
      <c r="F59" s="9"/>
      <c r="G59" s="9"/>
      <c r="H59" s="9"/>
      <c r="I59" s="9"/>
      <c r="J59" s="9"/>
    </row>
    <row r="60" ht="15.75" customHeight="1">
      <c r="A60" s="9"/>
      <c r="B60" s="9"/>
      <c r="C60" s="9"/>
      <c r="D60" s="9"/>
      <c r="E60" s="9"/>
      <c r="F60" s="9"/>
      <c r="G60" s="9"/>
      <c r="H60" s="9"/>
      <c r="I60" s="9"/>
      <c r="J60" s="9"/>
    </row>
    <row r="61" ht="15.75" customHeight="1">
      <c r="A61" s="9"/>
      <c r="B61" s="9"/>
      <c r="C61" s="9"/>
      <c r="D61" s="9"/>
      <c r="E61" s="9"/>
      <c r="F61" s="9"/>
      <c r="G61" s="9"/>
      <c r="H61" s="9"/>
      <c r="I61" s="9"/>
      <c r="J61" s="9"/>
    </row>
    <row r="62" ht="15.75" customHeight="1">
      <c r="A62" s="9"/>
      <c r="B62" s="9"/>
      <c r="C62" s="9"/>
      <c r="D62" s="9"/>
      <c r="E62" s="9"/>
      <c r="F62" s="9"/>
      <c r="G62" s="9"/>
      <c r="H62" s="9"/>
      <c r="I62" s="9"/>
      <c r="J62" s="9"/>
    </row>
    <row r="63" ht="15.75" customHeight="1">
      <c r="A63" s="9"/>
      <c r="B63" s="9"/>
      <c r="C63" s="9"/>
      <c r="D63" s="9"/>
      <c r="E63" s="9"/>
      <c r="F63" s="9"/>
      <c r="G63" s="9"/>
      <c r="H63" s="9"/>
      <c r="I63" s="9"/>
      <c r="J63" s="9"/>
    </row>
    <row r="64" ht="15.75" customHeight="1">
      <c r="A64" s="9"/>
      <c r="B64" s="9"/>
      <c r="C64" s="9"/>
      <c r="D64" s="9"/>
      <c r="E64" s="9"/>
      <c r="F64" s="9"/>
      <c r="G64" s="9"/>
      <c r="H64" s="9"/>
      <c r="I64" s="9"/>
      <c r="J64" s="9"/>
    </row>
    <row r="65" ht="15.75" customHeight="1">
      <c r="A65" s="9"/>
      <c r="B65" s="9"/>
      <c r="C65" s="9"/>
      <c r="D65" s="9"/>
      <c r="E65" s="9"/>
      <c r="F65" s="9"/>
      <c r="G65" s="9"/>
      <c r="H65" s="9"/>
      <c r="I65" s="9"/>
      <c r="J65" s="9"/>
    </row>
    <row r="66" ht="15.75" customHeight="1">
      <c r="A66" s="9"/>
      <c r="B66" s="9"/>
      <c r="C66" s="9"/>
      <c r="D66" s="9"/>
      <c r="E66" s="9"/>
      <c r="F66" s="9"/>
      <c r="G66" s="9"/>
      <c r="H66" s="9"/>
      <c r="I66" s="9"/>
      <c r="J66" s="9"/>
    </row>
    <row r="67" ht="15.75" customHeight="1">
      <c r="A67" s="9"/>
      <c r="B67" s="9"/>
      <c r="C67" s="9"/>
      <c r="D67" s="9"/>
      <c r="E67" s="9"/>
      <c r="F67" s="9"/>
      <c r="G67" s="9"/>
      <c r="H67" s="9"/>
      <c r="I67" s="9"/>
      <c r="J67" s="9"/>
    </row>
    <row r="68" ht="15.75" customHeight="1">
      <c r="A68" s="9"/>
      <c r="B68" s="9"/>
      <c r="C68" s="9"/>
      <c r="D68" s="9"/>
      <c r="E68" s="9"/>
      <c r="F68" s="9"/>
      <c r="G68" s="9"/>
      <c r="H68" s="9"/>
      <c r="I68" s="9"/>
      <c r="J68" s="9"/>
    </row>
    <row r="69" ht="15.75" customHeight="1">
      <c r="A69" s="9"/>
      <c r="B69" s="9"/>
      <c r="C69" s="9"/>
      <c r="D69" s="9"/>
      <c r="E69" s="9"/>
      <c r="F69" s="9"/>
      <c r="G69" s="9"/>
      <c r="H69" s="9"/>
      <c r="I69" s="9"/>
      <c r="J69" s="9"/>
    </row>
    <row r="70" ht="15.75" customHeight="1">
      <c r="A70" s="9"/>
      <c r="B70" s="9"/>
      <c r="C70" s="9"/>
      <c r="D70" s="9"/>
      <c r="E70" s="9"/>
      <c r="F70" s="9"/>
      <c r="G70" s="9"/>
      <c r="H70" s="9"/>
      <c r="I70" s="9"/>
      <c r="J70" s="9"/>
    </row>
    <row r="71" ht="15.75" customHeight="1">
      <c r="A71" s="9"/>
      <c r="B71" s="9"/>
      <c r="C71" s="9"/>
      <c r="D71" s="9"/>
      <c r="E71" s="9"/>
      <c r="F71" s="9"/>
      <c r="G71" s="9"/>
      <c r="H71" s="9"/>
      <c r="I71" s="9"/>
      <c r="J71" s="9"/>
    </row>
    <row r="72" ht="15.75" customHeight="1">
      <c r="A72" s="9"/>
      <c r="B72" s="9"/>
      <c r="C72" s="9"/>
      <c r="D72" s="9"/>
      <c r="E72" s="9"/>
      <c r="F72" s="9"/>
      <c r="G72" s="9"/>
      <c r="H72" s="9"/>
      <c r="I72" s="9"/>
      <c r="J72" s="9"/>
    </row>
    <row r="73" ht="15.75" customHeight="1">
      <c r="A73" s="9"/>
      <c r="B73" s="9"/>
      <c r="C73" s="9"/>
      <c r="D73" s="9"/>
      <c r="E73" s="9"/>
      <c r="F73" s="9"/>
      <c r="G73" s="9"/>
      <c r="H73" s="9"/>
      <c r="I73" s="9"/>
      <c r="J73" s="9"/>
    </row>
    <row r="74" ht="15.75" customHeight="1">
      <c r="A74" s="9"/>
      <c r="B74" s="9"/>
      <c r="C74" s="9"/>
      <c r="D74" s="9"/>
      <c r="E74" s="9"/>
      <c r="F74" s="9"/>
      <c r="G74" s="9"/>
      <c r="H74" s="9"/>
      <c r="I74" s="9"/>
      <c r="J74" s="9"/>
    </row>
    <row r="75" ht="15.75" customHeight="1">
      <c r="A75" s="9"/>
      <c r="B75" s="9"/>
      <c r="C75" s="9"/>
      <c r="D75" s="9"/>
      <c r="E75" s="9"/>
      <c r="F75" s="9"/>
      <c r="G75" s="9"/>
      <c r="H75" s="9"/>
      <c r="I75" s="9"/>
      <c r="J75" s="9"/>
    </row>
    <row r="76" ht="15.75" customHeight="1">
      <c r="A76" s="9"/>
      <c r="B76" s="9"/>
      <c r="C76" s="9"/>
      <c r="D76" s="9"/>
      <c r="E76" s="9"/>
      <c r="F76" s="9"/>
      <c r="G76" s="9"/>
      <c r="H76" s="9"/>
      <c r="I76" s="9"/>
      <c r="J76" s="9"/>
    </row>
    <row r="77" ht="15.75" customHeight="1">
      <c r="A77" s="9"/>
      <c r="B77" s="9"/>
      <c r="C77" s="9"/>
      <c r="D77" s="9"/>
      <c r="E77" s="9"/>
      <c r="F77" s="9"/>
      <c r="G77" s="9"/>
      <c r="H77" s="9"/>
      <c r="I77" s="9"/>
      <c r="J77" s="9"/>
    </row>
    <row r="78" ht="15.75" customHeight="1">
      <c r="A78" s="9"/>
      <c r="B78" s="9"/>
      <c r="C78" s="9"/>
      <c r="D78" s="9"/>
      <c r="E78" s="9"/>
      <c r="F78" s="9"/>
      <c r="G78" s="9"/>
      <c r="H78" s="9"/>
      <c r="I78" s="9"/>
      <c r="J78" s="9"/>
    </row>
    <row r="79" ht="15.75" customHeight="1">
      <c r="A79" s="9"/>
      <c r="B79" s="9"/>
      <c r="C79" s="9"/>
      <c r="D79" s="9"/>
      <c r="E79" s="9"/>
      <c r="F79" s="9"/>
      <c r="G79" s="9"/>
      <c r="H79" s="9"/>
      <c r="I79" s="9"/>
      <c r="J79" s="9"/>
    </row>
    <row r="80" ht="15.75" customHeight="1">
      <c r="A80" s="9"/>
      <c r="B80" s="9"/>
      <c r="C80" s="9"/>
      <c r="D80" s="9"/>
      <c r="E80" s="9"/>
      <c r="F80" s="9"/>
      <c r="G80" s="9"/>
      <c r="H80" s="9"/>
      <c r="I80" s="9"/>
      <c r="J80" s="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