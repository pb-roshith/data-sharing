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lassification" sheetId="1" r:id="rId5"/>
    <sheet state="visible" name="Summary" sheetId="2" r:id="rId6"/>
    <sheet state="visible" name="Vulnerability" sheetId="3" r:id="rId7"/>
  </sheets>
  <definedNames/>
  <calcPr/>
</workbook>
</file>

<file path=xl/sharedStrings.xml><?xml version="1.0" encoding="utf-8"?>
<sst xmlns="http://schemas.openxmlformats.org/spreadsheetml/2006/main" count="614" uniqueCount="132">
  <si>
    <t>Number of Files</t>
  </si>
  <si>
    <t>TCS Confidential</t>
  </si>
  <si>
    <t>Category</t>
  </si>
  <si>
    <t xml:space="preserve">153
</t>
  </si>
  <si>
    <t>Priority</t>
  </si>
  <si>
    <t>Kingdom</t>
  </si>
  <si>
    <t>Abstract</t>
  </si>
  <si>
    <t>Source File Path</t>
  </si>
  <si>
    <t>Source Line No</t>
  </si>
  <si>
    <t>Sink File Path</t>
  </si>
  <si>
    <t>Sink Line No</t>
  </si>
  <si>
    <t>Status</t>
  </si>
  <si>
    <t>Auditor Comment</t>
  </si>
  <si>
    <t>Developer Comment</t>
  </si>
  <si>
    <t>Lines of Code</t>
  </si>
  <si>
    <t xml:space="preserve">0
</t>
  </si>
  <si>
    <t>Privacy Violation</t>
  </si>
  <si>
    <t>Scan time</t>
  </si>
  <si>
    <t>03 mins 03 seconds</t>
  </si>
  <si>
    <t>Tools and Version</t>
  </si>
  <si>
    <t>Critical</t>
  </si>
  <si>
    <t xml:space="preserve">Fortify SCA 26.2.0.0071
</t>
  </si>
  <si>
    <t>Security Features</t>
  </si>
  <si>
    <t>The file profile.tsx mishandles confidential information on line 129, which can compromise user privacy and is often illegal.</t>
  </si>
  <si>
    <t>frontend/src/routes/profile.tsx</t>
  </si>
  <si>
    <t>169</t>
  </si>
  <si>
    <t>SAST Summary</t>
  </si>
  <si>
    <t>129</t>
  </si>
  <si>
    <t>Open</t>
  </si>
  <si>
    <t/>
  </si>
  <si>
    <t>Backend/authentication error details are no longer exposed to users.Both password-change and security-question failures now show generic messages.</t>
  </si>
  <si>
    <t>The file login.tsx mishandles confidential information on line 169, which can compromise user privacy and is often illegal.</t>
  </si>
  <si>
    <t>frontend/src/routes/login.tsx</t>
  </si>
  <si>
    <t>344</t>
  </si>
  <si>
    <t>Fixed privacy exposure by replacing backend authentication details with safe, generic UI messages.</t>
  </si>
  <si>
    <t>The file login.tsx mishandles confidential information on line 228, which can compromise user privacy and is often illegal.</t>
  </si>
  <si>
    <t>239</t>
  </si>
  <si>
    <t>228</t>
  </si>
  <si>
    <t>High</t>
  </si>
  <si>
    <t>The password visibility toggle is an intentional usability feature, activated only by the user. Passwords remain masked by default and are not stored or logged.</t>
  </si>
  <si>
    <t>Medium</t>
  </si>
  <si>
    <t>Low</t>
  </si>
  <si>
    <t>Grand Total</t>
  </si>
  <si>
    <t>Closed</t>
  </si>
  <si>
    <t>The file profile.tsx mishandles confidential information on line 162, which can compromise user privacy and is often illegal.</t>
  </si>
  <si>
    <t>160</t>
  </si>
  <si>
    <t>162</t>
  </si>
  <si>
    <t>The password visibility toggle is an intentional usability feature requiring explicit user action. Passwords remain masked by default and are not stored or logged.</t>
  </si>
  <si>
    <t>248</t>
  </si>
  <si>
    <t>Resolved: Backend authentication and account details were replaced with generic, non-sensitive UI messages to prevent confidential information exposure.</t>
  </si>
  <si>
    <t>236</t>
  </si>
  <si>
    <t>The password visibility toggle is intentional and user-controlled. Passwords remain masked by default and are never stored or logged.</t>
  </si>
  <si>
    <t>The file login.tsx mishandles confidential information on line 264, which can compromise user privacy and is often illegal.</t>
  </si>
  <si>
    <t>270</t>
  </si>
  <si>
    <t>264</t>
  </si>
  <si>
    <t>The confirmation-password visibility toggle is intentional and user-controlled. The value remains masked by default and is never stored or logged.</t>
  </si>
  <si>
    <t>345</t>
  </si>
  <si>
    <t>Resolved: Backend authentication and account details are replaced with generic, non-sensitive messages, preventing confidential information exposure.</t>
  </si>
  <si>
    <t>29</t>
  </si>
  <si>
    <t>The authenticated user’s ID is intentionally displayed on their own protected profile page and is not exposed to unauthenticated or unauthorized users.</t>
  </si>
  <si>
    <t>271</t>
  </si>
  <si>
    <t>False positive: Line 271 only renders a password-field label and does not process, store, or expose confidential information.</t>
  </si>
  <si>
    <t>158</t>
  </si>
  <si>
    <t>This is an intentional password visibility toggle. Passwords remain masked by default, are shown only on explicit user action, and are not logged or stored in plaintext.</t>
  </si>
  <si>
    <t>The file login.tsx mishandles confidential information on line 190, which can compromise user privacy and is often illegal.</t>
  </si>
  <si>
    <t>190</t>
  </si>
  <si>
    <t>False positive: Line 190 contains only static login-page presentation content and does not access, process, store, or expose confidential information.</t>
  </si>
  <si>
    <t>This is an intentional password visibility toggle. Passwords are masked by default, revealed only through explicit user action, and never logged or stored in plaintext.</t>
  </si>
  <si>
    <t>21</t>
  </si>
  <si>
    <t>False positive: Line 169 defines only the login page layout and does not handle, store, log, or expose confidential information.</t>
  </si>
  <si>
    <t>The file profile.tsx mishandles confidential information on line 244, which can compromise user privacy and is often illegal.</t>
  </si>
  <si>
    <t>250</t>
  </si>
  <si>
    <t>244</t>
  </si>
  <si>
    <t>False positive: The field handles the current password securely using a masked password input. Its value is submitted only for verification and is not displayed, logged, or stored in plaintext.</t>
  </si>
  <si>
    <t>227</t>
  </si>
  <si>
    <t>False positive: Line 169 contains only static login-page layout and does not process, store, log, or expose confidential information.</t>
  </si>
  <si>
    <t>False positive: Lines 190–227 render the login form and bind the user-entered ID to a controlled input. The value is not logged, persisted, or disclosed to unauthorized users.</t>
  </si>
  <si>
    <t>The authenticated user’s ID is intentionally displayed on their protected profile page and is not exposed to unauthenticated or unauthorized users.</t>
  </si>
  <si>
    <t>Lines 169–239 render the login form, including an intentional password visibility toggle. Passwords are masked by default and revealed only through explicit user action.</t>
  </si>
  <si>
    <t>Not An Issue</t>
  </si>
  <si>
    <t>False positive: Lines 169–236 only render the login interface and controlled credential fields. Sensitive values are masked by default and are not logged or persisted.</t>
  </si>
  <si>
    <t>Lines 169–270 render controlled login and password fields with intentional visibility toggles. Passwords remain masked by default and are not logged or persisted.</t>
  </si>
  <si>
    <t>159</t>
  </si>
  <si>
    <t>This is an intentional password visibility toggle. Passwords are masked by default, revealed only through explicit user action, and are not logged or persisted.</t>
  </si>
  <si>
    <t>This is the confirm-password field with an intentional visibility toggle. The value is masked by default, revealed only by explicit user action, and is not logged or persisted.</t>
  </si>
  <si>
    <t>346</t>
  </si>
  <si>
    <t>False positive: Lines 190–346 render the login form and validation UI. Sensitive values are masked by default and are not logged, persisted, or exposed to unauthorized users.</t>
  </si>
  <si>
    <t>The password visibility toggle is intentional. Passwords remain masked by default, are revealed only by explicit user action, and are never logged or persisted.</t>
  </si>
  <si>
    <t>174</t>
  </si>
  <si>
    <t>The authenticated user’s ID is intentionally displayed only on their protected profile page and is not exposed to unauthenticated or unauthorized users.</t>
  </si>
  <si>
    <t>This section renders the login form with a user-controlled password visibility toggle. Passwords are masked by default and are not logged or persisted.</t>
  </si>
  <si>
    <t>This section renders controlled credential fields with intentional visibility toggles. Passwords are masked by default and are not logged or persisted.</t>
  </si>
  <si>
    <t>263</t>
  </si>
  <si>
    <t>This section renders controlled credential fields with an intentional user-activated visibility toggle. Passwords remain masked by default and are not logged or persisted.</t>
  </si>
  <si>
    <t>This section renders the password field with an intentional visibility toggle. The password is masked by default and is not logged or persisted.</t>
  </si>
  <si>
    <t>234</t>
  </si>
  <si>
    <t>This password field includes an intentional visibility toggle. The password is masked by default, revealed only by explicit user action, and is not logged or persisted.</t>
  </si>
  <si>
    <t>273</t>
  </si>
  <si>
    <t>The confirm-password field has an intentional visibility toggle. It remains masked by default, is revealed only by explicit user action, and is not logged or persisted.</t>
  </si>
  <si>
    <t>208</t>
  </si>
  <si>
    <t>The authenticated user’s ID is used for password-policy validation and displayed only on their protected profile page. It is not logged or exposed to unauthorized users.</t>
  </si>
  <si>
    <t>The password visibility toggle is intentional. Passwords are masked by default, shown only after explicit user action, and are not logged or persisted.</t>
  </si>
  <si>
    <t>The password field includes an intentional, user-controlled visibility toggle. It remains masked by default and is not logged or persisted.</t>
  </si>
  <si>
    <t>This section renders controlled authentication fields with intentional visibility toggles. Passwords remain masked by default and are not logged or persisted.</t>
  </si>
  <si>
    <t>206</t>
  </si>
  <si>
    <t>The authenticated user’s ID is used for password-policy validation and shown only on their protected profile page. It is not logged or disclosed to unauthorized users.</t>
  </si>
  <si>
    <t>The protected profile handles the authenticated user’s ID and password fields as intended. Passwords are masked by default, and sensitive values are not logged, persisted, or exposed to unauthorized users.</t>
  </si>
  <si>
    <t>This section renders the login form and an intentional password visibility toggle. Passwords remain masked by default and are not logged or persisted.</t>
  </si>
  <si>
    <t>This section contains controlled password fields with intentional visibility toggles. Passwords are masked by default and are not logged or persisted.</t>
  </si>
  <si>
    <t>The file PasswordPolicyChecklist.tsx mishandles confidential information on line 67, which can compromise user privacy and is often illegal.</t>
  </si>
  <si>
    <t>frontend/src/components/PasswordPolicyChecklist.tsx</t>
  </si>
  <si>
    <t>55</t>
  </si>
  <si>
    <t>67</t>
  </si>
  <si>
    <t>False positive: The password is used only for client-side policy validation. Its value is never displayed, logged, persisted, or transmitted by this component.</t>
  </si>
  <si>
    <t>This section renders controlled password fields with intentional visibility toggles. Passwords remain masked by default and are not logged or persisted.</t>
  </si>
  <si>
    <t>This section renders the authentication form, including intentional user-controlled password visibility toggles. Passwords remain masked by default and are not logged or persisted.</t>
  </si>
  <si>
    <t>347</t>
  </si>
  <si>
    <t>This section renders the authentication form and local password-policy checks. Sensitive values are not logged, persisted, or exposed without explicit user action.</t>
  </si>
  <si>
    <t>This section contains controlled password fields with user-activated visibility toggles. Passwords are masked by default and are not logged or persisted.</t>
  </si>
  <si>
    <t>The authenticated user’s ID is displayed only on their protected profile page. Password fields remain masked by default, and sensitive values are not logged or persisted.</t>
  </si>
  <si>
    <t>This section renders the authentication form and local password-policy validation. Sensitive values are masked by default and are not logged or persisted.</t>
  </si>
  <si>
    <t>207</t>
  </si>
  <si>
    <t>The authenticated user’s ID is displayed only on their protected profile and used locally for password-policy validation. It is not logged or exposed to unauthorized users.</t>
  </si>
  <si>
    <t>Cross-Site Request Forgery</t>
  </si>
  <si>
    <t>Encapsulation</t>
  </si>
  <si>
    <t>The HTTP request at deals.$dealId.tsx line 2919 must contain a user-specific secret to prevent an attacker from making unauthorized requests.</t>
  </si>
  <si>
    <t>frontend/src/routes/deals.$dealId.tsx</t>
  </si>
  <si>
    <t>2919</t>
  </si>
  <si>
    <t>False positive: The PATCH request is protected by server-side same-origin validation and a Secure, HttpOnly, SameSite=Strict session cookie. Cross-site state-changing requests are rejected.</t>
  </si>
  <si>
    <t>The HTTP request at deals.$dealId.tsx line 2882 must contain a user-specific secret to prevent an attacker from making unauthorized requests.</t>
  </si>
  <si>
    <t>2882</t>
  </si>
  <si>
    <t>False positive: The request is protected by server-side same-origin validation and a Secure, HttpOnly, SameSite=Strict session cookie. Cross-site state-changing requests are rejected.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</si>
</sst>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2" fillId="2" fontId="1" numFmtId="0" xfId="0" applyAlignment="1" applyBorder="1" applyFill="1" applyFont="1">
      <alignment horizontal="center" shrinkToFit="0" vertical="bottom" wrapText="1"/>
    </xf>
    <xf borderId="3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bottom" wrapText="0"/>
    </xf>
    <xf borderId="4" fillId="0" fontId="4" numFmtId="0" xfId="0" applyBorder="1" applyFont="1"/>
    <xf borderId="5" fillId="0" fontId="4" numFmtId="0" xfId="0" applyBorder="1" applyFont="1"/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/>
    </xf>
    <xf borderId="6" fillId="2" fontId="1" numFmtId="0" xfId="0" applyAlignment="1" applyBorder="1" applyFill="1" applyFont="1">
      <alignment horizontal="center" shrinkToFit="0" vertical="bottom" wrapText="1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5.63"/>
    <col customWidth="1" min="7" max="26" width="8.0"/>
  </cols>
  <sheetData>
    <row r="1" ht="12.75" customHeight="1"/>
    <row r="2" ht="12.75" customHeight="1"/>
    <row r="3" ht="12.75" customHeight="1"/>
    <row r="4" ht="19.5" customHeight="1">
      <c r="B4" s="3" t="s">
        <v>1</v>
      </c>
      <c r="C4" s="5"/>
      <c r="D4" s="5"/>
      <c r="E4" s="6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4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6" width="11.75"/>
    <col customWidth="1" min="7" max="26" width="8.0"/>
  </cols>
  <sheetData>
    <row r="1" ht="12.75" customHeight="1">
      <c r="A1" s="1" t="s">
        <v>0</v>
      </c>
      <c r="B1" s="4" t="s">
        <v>3</v>
      </c>
    </row>
    <row r="2" ht="12.75" customHeight="1">
      <c r="A2" s="1" t="s">
        <v>14</v>
      </c>
      <c r="B2" s="4" t="s">
        <v>15</v>
      </c>
    </row>
    <row r="3" ht="12.75" customHeight="1">
      <c r="A3" s="1" t="s">
        <v>17</v>
      </c>
      <c r="B3" s="4" t="s">
        <v>18</v>
      </c>
    </row>
    <row r="4" ht="12.75" customHeight="1">
      <c r="A4" s="1" t="s">
        <v>19</v>
      </c>
      <c r="B4" s="4" t="s">
        <v>21</v>
      </c>
    </row>
    <row r="5" ht="12.75" customHeight="1"/>
    <row r="6" ht="12.75" customHeight="1">
      <c r="A6" s="9" t="s">
        <v>26</v>
      </c>
      <c r="B6" s="10"/>
      <c r="C6" s="10"/>
      <c r="D6" s="10"/>
      <c r="E6" s="10"/>
      <c r="F6" s="11"/>
    </row>
    <row r="7" ht="12.75" customHeight="1">
      <c r="A7" s="1" t="s">
        <v>11</v>
      </c>
      <c r="B7" s="1" t="s">
        <v>20</v>
      </c>
      <c r="C7" s="1" t="s">
        <v>38</v>
      </c>
      <c r="D7" s="1" t="s">
        <v>40</v>
      </c>
      <c r="E7" s="1" t="s">
        <v>41</v>
      </c>
      <c r="F7" s="1" t="s">
        <v>42</v>
      </c>
    </row>
    <row r="8" ht="12.75" customHeight="1">
      <c r="A8" s="1" t="s">
        <v>43</v>
      </c>
      <c r="B8" s="4">
        <f>SUMPRODUCT((Vulnerability!$B2:$B54="Critical")*(Vulnerability!$I2:$I54="Closed"))</f>
        <v>0</v>
      </c>
      <c r="C8" s="4">
        <f>SUMPRODUCT((Vulnerability!$B2:$B54="High")*(Vulnerability!$I2:$I54="Closed"))</f>
        <v>0</v>
      </c>
      <c r="D8" s="4">
        <f>SUMPRODUCT((Vulnerability!$B2:$B54="Medium")*(Vulnerability!$I2:$I54="Closed"))</f>
        <v>0</v>
      </c>
      <c r="E8" s="4">
        <f>SUMPRODUCT((Vulnerability!$B2:$B54="Low")*(Vulnerability!$I2:$I54="Closed"))</f>
        <v>0</v>
      </c>
      <c r="F8" s="4">
        <f t="shared" ref="F8:F10" si="1">SUM($B8:$E8)</f>
        <v>0</v>
      </c>
    </row>
    <row r="9" ht="12.75" customHeight="1">
      <c r="A9" s="1" t="s">
        <v>79</v>
      </c>
      <c r="B9" s="4">
        <f>SUMPRODUCT((Vulnerability!$B2:$B54="Critical")*(Vulnerability!$I2:$I54="Not An Issue"))</f>
        <v>0</v>
      </c>
      <c r="C9" s="4">
        <f>SUMPRODUCT((Vulnerability!$B2:$B54="High")*(Vulnerability!$I2:$I54="Not An Issue"))</f>
        <v>0</v>
      </c>
      <c r="D9" s="4">
        <f>SUMPRODUCT((Vulnerability!$B2:$B54="Medium")*(Vulnerability!$I2:$I54="Not An Issue"))</f>
        <v>0</v>
      </c>
      <c r="E9" s="4">
        <f>SUMPRODUCT((Vulnerability!$B2:$B54="Low")*(Vulnerability!$I2:$I54="Not An Issue"))</f>
        <v>0</v>
      </c>
      <c r="F9" s="4">
        <f t="shared" si="1"/>
        <v>0</v>
      </c>
    </row>
    <row r="10" ht="12.75" customHeight="1">
      <c r="A10" s="1" t="s">
        <v>28</v>
      </c>
      <c r="B10" s="4">
        <f>SUMPRODUCT((Vulnerability!$B2:$B54="Critical")*(Vulnerability!$I2:$I54="Open"))</f>
        <v>51</v>
      </c>
      <c r="C10" s="4">
        <f>SUMPRODUCT((Vulnerability!$B2:$B54="High")*(Vulnerability!$I2:$I54="Open"))</f>
        <v>0</v>
      </c>
      <c r="D10" s="4">
        <f>SUMPRODUCT((Vulnerability!$B2:$B54="Medium")*(Vulnerability!$I2:$I54="Open"))</f>
        <v>0</v>
      </c>
      <c r="E10" s="4">
        <f>SUMPRODUCT((Vulnerability!$B2:$B54="Low")*(Vulnerability!$I2:$I54="Open"))</f>
        <v>2</v>
      </c>
      <c r="F10" s="4">
        <f t="shared" si="1"/>
        <v>53</v>
      </c>
    </row>
    <row r="11" ht="12.75" customHeight="1">
      <c r="A11" s="1" t="s">
        <v>42</v>
      </c>
      <c r="B11" s="4">
        <f>SUM($B8:$B10)</f>
        <v>51</v>
      </c>
      <c r="C11" s="4">
        <f>SUM($C8:$C10)</f>
        <v>0</v>
      </c>
      <c r="D11" s="4">
        <f>SUM($D8:$D10)</f>
        <v>0</v>
      </c>
      <c r="E11" s="4">
        <f>SUM($E8:$E10)</f>
        <v>2</v>
      </c>
      <c r="F11" s="4">
        <f>SUM($F8:$F10)</f>
        <v>53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6:F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1.75"/>
    <col customWidth="1" min="3" max="3" width="19.5"/>
    <col customWidth="1" min="4" max="5" width="39.13"/>
    <col customWidth="1" min="6" max="6" width="19.5"/>
    <col customWidth="1" min="7" max="7" width="39.13"/>
    <col customWidth="1" min="8" max="8" width="19.5"/>
    <col customWidth="1" min="9" max="11" width="39.13"/>
    <col customWidth="1" min="12" max="26" width="8.0"/>
  </cols>
  <sheetData>
    <row r="1" ht="12.75" customHeight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ht="12.75" customHeight="1">
      <c r="A2" s="7" t="s">
        <v>16</v>
      </c>
      <c r="B2" s="7" t="s">
        <v>20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24</v>
      </c>
      <c r="H2" s="7" t="s">
        <v>27</v>
      </c>
      <c r="I2" s="7" t="s">
        <v>28</v>
      </c>
      <c r="J2" s="7" t="s">
        <v>29</v>
      </c>
      <c r="K2" s="8" t="s">
        <v>30</v>
      </c>
    </row>
    <row r="3" ht="12.75" customHeight="1">
      <c r="A3" s="7" t="s">
        <v>16</v>
      </c>
      <c r="B3" s="7" t="s">
        <v>20</v>
      </c>
      <c r="C3" s="7" t="s">
        <v>22</v>
      </c>
      <c r="D3" s="7" t="s">
        <v>31</v>
      </c>
      <c r="E3" s="7" t="s">
        <v>32</v>
      </c>
      <c r="F3" s="7" t="s">
        <v>33</v>
      </c>
      <c r="G3" s="7" t="s">
        <v>32</v>
      </c>
      <c r="H3" s="7" t="s">
        <v>25</v>
      </c>
      <c r="I3" s="7" t="s">
        <v>28</v>
      </c>
      <c r="J3" s="7" t="s">
        <v>29</v>
      </c>
      <c r="K3" s="8" t="s">
        <v>34</v>
      </c>
    </row>
    <row r="4" ht="12.75" customHeight="1">
      <c r="A4" s="7" t="s">
        <v>16</v>
      </c>
      <c r="B4" s="7" t="s">
        <v>20</v>
      </c>
      <c r="C4" s="7" t="s">
        <v>22</v>
      </c>
      <c r="D4" s="7" t="s">
        <v>35</v>
      </c>
      <c r="E4" s="7" t="s">
        <v>32</v>
      </c>
      <c r="F4" s="7" t="s">
        <v>36</v>
      </c>
      <c r="G4" s="7" t="s">
        <v>32</v>
      </c>
      <c r="H4" s="7" t="s">
        <v>37</v>
      </c>
      <c r="I4" s="7" t="s">
        <v>28</v>
      </c>
      <c r="J4" s="7" t="s">
        <v>29</v>
      </c>
      <c r="K4" s="8" t="s">
        <v>39</v>
      </c>
    </row>
    <row r="5" ht="12.75" customHeight="1">
      <c r="A5" s="7" t="s">
        <v>16</v>
      </c>
      <c r="B5" s="7" t="s">
        <v>20</v>
      </c>
      <c r="C5" s="7" t="s">
        <v>22</v>
      </c>
      <c r="D5" s="7" t="s">
        <v>44</v>
      </c>
      <c r="E5" s="7" t="s">
        <v>24</v>
      </c>
      <c r="F5" s="7" t="s">
        <v>45</v>
      </c>
      <c r="G5" s="7" t="s">
        <v>24</v>
      </c>
      <c r="H5" s="7" t="s">
        <v>46</v>
      </c>
      <c r="I5" s="7" t="s">
        <v>28</v>
      </c>
      <c r="J5" s="7" t="s">
        <v>29</v>
      </c>
      <c r="K5" s="8" t="s">
        <v>47</v>
      </c>
    </row>
    <row r="6" ht="12.75" customHeight="1">
      <c r="A6" s="7" t="s">
        <v>16</v>
      </c>
      <c r="B6" s="7" t="s">
        <v>20</v>
      </c>
      <c r="C6" s="7" t="s">
        <v>22</v>
      </c>
      <c r="D6" s="7" t="s">
        <v>31</v>
      </c>
      <c r="E6" s="7" t="s">
        <v>32</v>
      </c>
      <c r="F6" s="7" t="s">
        <v>48</v>
      </c>
      <c r="G6" s="7" t="s">
        <v>32</v>
      </c>
      <c r="H6" s="7" t="s">
        <v>25</v>
      </c>
      <c r="I6" s="7" t="s">
        <v>28</v>
      </c>
      <c r="J6" s="7" t="s">
        <v>29</v>
      </c>
      <c r="K6" s="8" t="s">
        <v>49</v>
      </c>
    </row>
    <row r="7" ht="12.75" customHeight="1">
      <c r="A7" s="7" t="s">
        <v>16</v>
      </c>
      <c r="B7" s="7" t="s">
        <v>20</v>
      </c>
      <c r="C7" s="7" t="s">
        <v>22</v>
      </c>
      <c r="D7" s="7" t="s">
        <v>35</v>
      </c>
      <c r="E7" s="7" t="s">
        <v>32</v>
      </c>
      <c r="F7" s="7" t="s">
        <v>50</v>
      </c>
      <c r="G7" s="7" t="s">
        <v>32</v>
      </c>
      <c r="H7" s="7" t="s">
        <v>37</v>
      </c>
      <c r="I7" s="7" t="s">
        <v>28</v>
      </c>
      <c r="J7" s="7" t="s">
        <v>29</v>
      </c>
      <c r="K7" s="8" t="s">
        <v>51</v>
      </c>
    </row>
    <row r="8" ht="12.75" customHeight="1">
      <c r="A8" s="7" t="s">
        <v>16</v>
      </c>
      <c r="B8" s="7" t="s">
        <v>20</v>
      </c>
      <c r="C8" s="7" t="s">
        <v>22</v>
      </c>
      <c r="D8" s="7" t="s">
        <v>52</v>
      </c>
      <c r="E8" s="7" t="s">
        <v>32</v>
      </c>
      <c r="F8" s="7" t="s">
        <v>53</v>
      </c>
      <c r="G8" s="7" t="s">
        <v>32</v>
      </c>
      <c r="H8" s="7" t="s">
        <v>54</v>
      </c>
      <c r="I8" s="7" t="s">
        <v>28</v>
      </c>
      <c r="J8" s="7" t="s">
        <v>29</v>
      </c>
      <c r="K8" s="8" t="s">
        <v>55</v>
      </c>
    </row>
    <row r="9" ht="12.75" customHeight="1">
      <c r="A9" s="7" t="s">
        <v>16</v>
      </c>
      <c r="B9" s="7" t="s">
        <v>20</v>
      </c>
      <c r="C9" s="7" t="s">
        <v>22</v>
      </c>
      <c r="D9" s="7" t="s">
        <v>31</v>
      </c>
      <c r="E9" s="7" t="s">
        <v>32</v>
      </c>
      <c r="F9" s="7" t="s">
        <v>56</v>
      </c>
      <c r="G9" s="7" t="s">
        <v>32</v>
      </c>
      <c r="H9" s="7" t="s">
        <v>25</v>
      </c>
      <c r="I9" s="7" t="s">
        <v>28</v>
      </c>
      <c r="J9" s="7" t="s">
        <v>29</v>
      </c>
      <c r="K9" s="8" t="s">
        <v>57</v>
      </c>
    </row>
    <row r="10" ht="12.75" customHeight="1">
      <c r="A10" s="7" t="s">
        <v>16</v>
      </c>
      <c r="B10" s="7" t="s">
        <v>20</v>
      </c>
      <c r="C10" s="7" t="s">
        <v>22</v>
      </c>
      <c r="D10" s="7" t="s">
        <v>23</v>
      </c>
      <c r="E10" s="7" t="s">
        <v>24</v>
      </c>
      <c r="F10" s="7" t="s">
        <v>58</v>
      </c>
      <c r="G10" s="7" t="s">
        <v>24</v>
      </c>
      <c r="H10" s="7" t="s">
        <v>27</v>
      </c>
      <c r="I10" s="7" t="s">
        <v>28</v>
      </c>
      <c r="J10" s="7" t="s">
        <v>29</v>
      </c>
      <c r="K10" s="8" t="s">
        <v>59</v>
      </c>
    </row>
    <row r="11" ht="12.75" customHeight="1">
      <c r="A11" s="7" t="s">
        <v>16</v>
      </c>
      <c r="B11" s="7" t="s">
        <v>20</v>
      </c>
      <c r="C11" s="7" t="s">
        <v>22</v>
      </c>
      <c r="D11" s="7" t="s">
        <v>31</v>
      </c>
      <c r="E11" s="7" t="s">
        <v>32</v>
      </c>
      <c r="F11" s="7" t="s">
        <v>60</v>
      </c>
      <c r="G11" s="7" t="s">
        <v>32</v>
      </c>
      <c r="H11" s="7" t="s">
        <v>25</v>
      </c>
      <c r="I11" s="7" t="s">
        <v>28</v>
      </c>
      <c r="J11" s="7" t="s">
        <v>29</v>
      </c>
      <c r="K11" s="8" t="s">
        <v>61</v>
      </c>
    </row>
    <row r="12" ht="12.75" customHeight="1">
      <c r="A12" s="7" t="s">
        <v>16</v>
      </c>
      <c r="B12" s="7" t="s">
        <v>20</v>
      </c>
      <c r="C12" s="7" t="s">
        <v>22</v>
      </c>
      <c r="D12" s="7" t="s">
        <v>44</v>
      </c>
      <c r="E12" s="7" t="s">
        <v>24</v>
      </c>
      <c r="F12" s="7" t="s">
        <v>62</v>
      </c>
      <c r="G12" s="7" t="s">
        <v>24</v>
      </c>
      <c r="H12" s="7" t="s">
        <v>46</v>
      </c>
      <c r="I12" s="7" t="s">
        <v>28</v>
      </c>
      <c r="J12" s="7" t="s">
        <v>29</v>
      </c>
      <c r="K12" s="8" t="s">
        <v>63</v>
      </c>
    </row>
    <row r="13" ht="12.75" customHeight="1">
      <c r="A13" s="7" t="s">
        <v>16</v>
      </c>
      <c r="B13" s="7" t="s">
        <v>20</v>
      </c>
      <c r="C13" s="7" t="s">
        <v>22</v>
      </c>
      <c r="D13" s="7" t="s">
        <v>64</v>
      </c>
      <c r="E13" s="7" t="s">
        <v>32</v>
      </c>
      <c r="F13" s="7" t="s">
        <v>50</v>
      </c>
      <c r="G13" s="7" t="s">
        <v>32</v>
      </c>
      <c r="H13" s="7" t="s">
        <v>65</v>
      </c>
      <c r="I13" s="7" t="s">
        <v>28</v>
      </c>
      <c r="J13" s="7" t="s">
        <v>29</v>
      </c>
      <c r="K13" s="8" t="s">
        <v>66</v>
      </c>
    </row>
    <row r="14" ht="12.75" customHeight="1">
      <c r="A14" s="7" t="s">
        <v>16</v>
      </c>
      <c r="B14" s="7" t="s">
        <v>20</v>
      </c>
      <c r="C14" s="7" t="s">
        <v>22</v>
      </c>
      <c r="D14" s="7" t="s">
        <v>44</v>
      </c>
      <c r="E14" s="7" t="s">
        <v>24</v>
      </c>
      <c r="F14" s="7" t="s">
        <v>45</v>
      </c>
      <c r="G14" s="7" t="s">
        <v>24</v>
      </c>
      <c r="H14" s="7" t="s">
        <v>46</v>
      </c>
      <c r="I14" s="7" t="s">
        <v>28</v>
      </c>
      <c r="J14" s="7" t="s">
        <v>29</v>
      </c>
      <c r="K14" s="8" t="s">
        <v>67</v>
      </c>
    </row>
    <row r="15" ht="12.75" customHeight="1">
      <c r="A15" s="7" t="s">
        <v>16</v>
      </c>
      <c r="B15" s="7" t="s">
        <v>20</v>
      </c>
      <c r="C15" s="7" t="s">
        <v>22</v>
      </c>
      <c r="D15" s="7" t="s">
        <v>31</v>
      </c>
      <c r="E15" s="7" t="s">
        <v>32</v>
      </c>
      <c r="F15" s="7" t="s">
        <v>68</v>
      </c>
      <c r="G15" s="7" t="s">
        <v>32</v>
      </c>
      <c r="H15" s="7" t="s">
        <v>25</v>
      </c>
      <c r="I15" s="7" t="s">
        <v>28</v>
      </c>
      <c r="J15" s="7" t="s">
        <v>29</v>
      </c>
      <c r="K15" s="8" t="s">
        <v>69</v>
      </c>
    </row>
    <row r="16" ht="12.75" customHeight="1">
      <c r="A16" s="7" t="s">
        <v>16</v>
      </c>
      <c r="B16" s="7" t="s">
        <v>20</v>
      </c>
      <c r="C16" s="7" t="s">
        <v>22</v>
      </c>
      <c r="D16" s="7" t="s">
        <v>70</v>
      </c>
      <c r="E16" s="7" t="s">
        <v>24</v>
      </c>
      <c r="F16" s="7" t="s">
        <v>71</v>
      </c>
      <c r="G16" s="7" t="s">
        <v>24</v>
      </c>
      <c r="H16" s="7" t="s">
        <v>72</v>
      </c>
      <c r="I16" s="7" t="s">
        <v>28</v>
      </c>
      <c r="J16" s="7" t="s">
        <v>29</v>
      </c>
      <c r="K16" s="8" t="s">
        <v>73</v>
      </c>
    </row>
    <row r="17" ht="12.75" customHeight="1">
      <c r="A17" s="7" t="s">
        <v>16</v>
      </c>
      <c r="B17" s="7" t="s">
        <v>20</v>
      </c>
      <c r="C17" s="7" t="s">
        <v>22</v>
      </c>
      <c r="D17" s="7" t="s">
        <v>31</v>
      </c>
      <c r="E17" s="7" t="s">
        <v>32</v>
      </c>
      <c r="F17" s="7" t="s">
        <v>74</v>
      </c>
      <c r="G17" s="7" t="s">
        <v>32</v>
      </c>
      <c r="H17" s="7" t="s">
        <v>25</v>
      </c>
      <c r="I17" s="7" t="s">
        <v>28</v>
      </c>
      <c r="J17" s="7" t="s">
        <v>29</v>
      </c>
      <c r="K17" s="8" t="s">
        <v>75</v>
      </c>
    </row>
    <row r="18" ht="12.75" customHeight="1">
      <c r="A18" s="7" t="s">
        <v>16</v>
      </c>
      <c r="B18" s="7" t="s">
        <v>20</v>
      </c>
      <c r="C18" s="7" t="s">
        <v>22</v>
      </c>
      <c r="D18" s="7" t="s">
        <v>64</v>
      </c>
      <c r="E18" s="7" t="s">
        <v>32</v>
      </c>
      <c r="F18" s="7" t="s">
        <v>74</v>
      </c>
      <c r="G18" s="7" t="s">
        <v>32</v>
      </c>
      <c r="H18" s="7" t="s">
        <v>65</v>
      </c>
      <c r="I18" s="7" t="s">
        <v>28</v>
      </c>
      <c r="J18" s="7" t="s">
        <v>29</v>
      </c>
      <c r="K18" s="8" t="s">
        <v>76</v>
      </c>
    </row>
    <row r="19" ht="12.75" customHeight="1">
      <c r="A19" s="7" t="s">
        <v>16</v>
      </c>
      <c r="B19" s="7" t="s">
        <v>20</v>
      </c>
      <c r="C19" s="7" t="s">
        <v>22</v>
      </c>
      <c r="D19" s="7" t="s">
        <v>23</v>
      </c>
      <c r="E19" s="7" t="s">
        <v>24</v>
      </c>
      <c r="F19" s="7" t="s">
        <v>62</v>
      </c>
      <c r="G19" s="7" t="s">
        <v>24</v>
      </c>
      <c r="H19" s="7" t="s">
        <v>27</v>
      </c>
      <c r="I19" s="7" t="s">
        <v>28</v>
      </c>
      <c r="J19" s="7" t="s">
        <v>29</v>
      </c>
      <c r="K19" s="8" t="s">
        <v>77</v>
      </c>
    </row>
    <row r="20" ht="12.75" customHeight="1">
      <c r="A20" s="7" t="s">
        <v>16</v>
      </c>
      <c r="B20" s="7" t="s">
        <v>20</v>
      </c>
      <c r="C20" s="7" t="s">
        <v>22</v>
      </c>
      <c r="D20" s="7" t="s">
        <v>31</v>
      </c>
      <c r="E20" s="7" t="s">
        <v>32</v>
      </c>
      <c r="F20" s="7" t="s">
        <v>36</v>
      </c>
      <c r="G20" s="7" t="s">
        <v>32</v>
      </c>
      <c r="H20" s="7" t="s">
        <v>25</v>
      </c>
      <c r="I20" s="7" t="s">
        <v>28</v>
      </c>
      <c r="J20" s="7" t="s">
        <v>29</v>
      </c>
      <c r="K20" s="8" t="s">
        <v>78</v>
      </c>
    </row>
    <row r="21" ht="12.75" customHeight="1">
      <c r="A21" s="7" t="s">
        <v>16</v>
      </c>
      <c r="B21" s="7" t="s">
        <v>20</v>
      </c>
      <c r="C21" s="7" t="s">
        <v>22</v>
      </c>
      <c r="D21" s="7" t="s">
        <v>31</v>
      </c>
      <c r="E21" s="7" t="s">
        <v>32</v>
      </c>
      <c r="F21" s="7" t="s">
        <v>50</v>
      </c>
      <c r="G21" s="7" t="s">
        <v>32</v>
      </c>
      <c r="H21" s="7" t="s">
        <v>25</v>
      </c>
      <c r="I21" s="7" t="s">
        <v>28</v>
      </c>
      <c r="J21" s="7" t="s">
        <v>29</v>
      </c>
      <c r="K21" s="8" t="s">
        <v>80</v>
      </c>
    </row>
    <row r="22" ht="12.75" customHeight="1">
      <c r="A22" s="7" t="s">
        <v>16</v>
      </c>
      <c r="B22" s="7" t="s">
        <v>20</v>
      </c>
      <c r="C22" s="7" t="s">
        <v>22</v>
      </c>
      <c r="D22" s="7" t="s">
        <v>31</v>
      </c>
      <c r="E22" s="7" t="s">
        <v>32</v>
      </c>
      <c r="F22" s="7" t="s">
        <v>53</v>
      </c>
      <c r="G22" s="7" t="s">
        <v>32</v>
      </c>
      <c r="H22" s="7" t="s">
        <v>25</v>
      </c>
      <c r="I22" s="7" t="s">
        <v>28</v>
      </c>
      <c r="J22" s="7" t="s">
        <v>29</v>
      </c>
      <c r="K22" s="8" t="s">
        <v>81</v>
      </c>
    </row>
    <row r="23" ht="12.75" customHeight="1">
      <c r="A23" s="7" t="s">
        <v>16</v>
      </c>
      <c r="B23" s="7" t="s">
        <v>20</v>
      </c>
      <c r="C23" s="7" t="s">
        <v>22</v>
      </c>
      <c r="D23" s="7" t="s">
        <v>44</v>
      </c>
      <c r="E23" s="7" t="s">
        <v>24</v>
      </c>
      <c r="F23" s="7" t="s">
        <v>82</v>
      </c>
      <c r="G23" s="7" t="s">
        <v>24</v>
      </c>
      <c r="H23" s="7" t="s">
        <v>46</v>
      </c>
      <c r="I23" s="7" t="s">
        <v>28</v>
      </c>
      <c r="J23" s="7" t="s">
        <v>29</v>
      </c>
      <c r="K23" s="8" t="s">
        <v>83</v>
      </c>
    </row>
    <row r="24" ht="12.75" customHeight="1">
      <c r="A24" s="7" t="s">
        <v>16</v>
      </c>
      <c r="B24" s="7" t="s">
        <v>20</v>
      </c>
      <c r="C24" s="7" t="s">
        <v>22</v>
      </c>
      <c r="D24" s="7" t="s">
        <v>52</v>
      </c>
      <c r="E24" s="7" t="s">
        <v>32</v>
      </c>
      <c r="F24" s="7" t="s">
        <v>60</v>
      </c>
      <c r="G24" s="7" t="s">
        <v>32</v>
      </c>
      <c r="H24" s="7" t="s">
        <v>54</v>
      </c>
      <c r="I24" s="7" t="s">
        <v>28</v>
      </c>
      <c r="J24" s="7" t="s">
        <v>29</v>
      </c>
      <c r="K24" s="8" t="s">
        <v>84</v>
      </c>
    </row>
    <row r="25" ht="12.75" customHeight="1">
      <c r="A25" s="7" t="s">
        <v>16</v>
      </c>
      <c r="B25" s="7" t="s">
        <v>20</v>
      </c>
      <c r="C25" s="7" t="s">
        <v>22</v>
      </c>
      <c r="D25" s="7" t="s">
        <v>64</v>
      </c>
      <c r="E25" s="7" t="s">
        <v>32</v>
      </c>
      <c r="F25" s="7" t="s">
        <v>85</v>
      </c>
      <c r="G25" s="7" t="s">
        <v>32</v>
      </c>
      <c r="H25" s="7" t="s">
        <v>65</v>
      </c>
      <c r="I25" s="7" t="s">
        <v>28</v>
      </c>
      <c r="J25" s="7" t="s">
        <v>29</v>
      </c>
      <c r="K25" s="8" t="s">
        <v>86</v>
      </c>
    </row>
    <row r="26" ht="12.75" customHeight="1">
      <c r="A26" s="7" t="s">
        <v>16</v>
      </c>
      <c r="B26" s="7" t="s">
        <v>20</v>
      </c>
      <c r="C26" s="7" t="s">
        <v>22</v>
      </c>
      <c r="D26" s="7" t="s">
        <v>44</v>
      </c>
      <c r="E26" s="7" t="s">
        <v>24</v>
      </c>
      <c r="F26" s="7" t="s">
        <v>62</v>
      </c>
      <c r="G26" s="7" t="s">
        <v>24</v>
      </c>
      <c r="H26" s="7" t="s">
        <v>46</v>
      </c>
      <c r="I26" s="7" t="s">
        <v>28</v>
      </c>
      <c r="J26" s="7" t="s">
        <v>29</v>
      </c>
      <c r="K26" s="8" t="s">
        <v>87</v>
      </c>
    </row>
    <row r="27" ht="12.75" customHeight="1">
      <c r="A27" s="7" t="s">
        <v>16</v>
      </c>
      <c r="B27" s="7" t="s">
        <v>20</v>
      </c>
      <c r="C27" s="7" t="s">
        <v>22</v>
      </c>
      <c r="D27" s="7" t="s">
        <v>23</v>
      </c>
      <c r="E27" s="7" t="s">
        <v>24</v>
      </c>
      <c r="F27" s="7" t="s">
        <v>88</v>
      </c>
      <c r="G27" s="7" t="s">
        <v>24</v>
      </c>
      <c r="H27" s="7" t="s">
        <v>27</v>
      </c>
      <c r="I27" s="7" t="s">
        <v>28</v>
      </c>
      <c r="J27" s="7" t="s">
        <v>29</v>
      </c>
      <c r="K27" s="8" t="s">
        <v>89</v>
      </c>
    </row>
    <row r="28" ht="12.75" customHeight="1">
      <c r="A28" s="7" t="s">
        <v>16</v>
      </c>
      <c r="B28" s="7" t="s">
        <v>20</v>
      </c>
      <c r="C28" s="7" t="s">
        <v>22</v>
      </c>
      <c r="D28" s="7" t="s">
        <v>64</v>
      </c>
      <c r="E28" s="7" t="s">
        <v>32</v>
      </c>
      <c r="F28" s="7" t="s">
        <v>36</v>
      </c>
      <c r="G28" s="7" t="s">
        <v>32</v>
      </c>
      <c r="H28" s="7" t="s">
        <v>65</v>
      </c>
      <c r="I28" s="7" t="s">
        <v>28</v>
      </c>
      <c r="J28" s="7" t="s">
        <v>29</v>
      </c>
      <c r="K28" s="8" t="s">
        <v>90</v>
      </c>
    </row>
    <row r="29" ht="12.75" customHeight="1">
      <c r="A29" s="7" t="s">
        <v>16</v>
      </c>
      <c r="B29" s="7" t="s">
        <v>20</v>
      </c>
      <c r="C29" s="7" t="s">
        <v>22</v>
      </c>
      <c r="D29" s="7" t="s">
        <v>64</v>
      </c>
      <c r="E29" s="7" t="s">
        <v>32</v>
      </c>
      <c r="F29" s="7" t="s">
        <v>60</v>
      </c>
      <c r="G29" s="7" t="s">
        <v>32</v>
      </c>
      <c r="H29" s="7" t="s">
        <v>65</v>
      </c>
      <c r="I29" s="7" t="s">
        <v>28</v>
      </c>
      <c r="J29" s="7" t="s">
        <v>29</v>
      </c>
      <c r="K29" s="8" t="s">
        <v>91</v>
      </c>
    </row>
    <row r="30" ht="12.75" customHeight="1">
      <c r="A30" s="7" t="s">
        <v>16</v>
      </c>
      <c r="B30" s="7" t="s">
        <v>20</v>
      </c>
      <c r="C30" s="7" t="s">
        <v>22</v>
      </c>
      <c r="D30" s="7" t="s">
        <v>31</v>
      </c>
      <c r="E30" s="7" t="s">
        <v>32</v>
      </c>
      <c r="F30" s="7" t="s">
        <v>92</v>
      </c>
      <c r="G30" s="7" t="s">
        <v>32</v>
      </c>
      <c r="H30" s="7" t="s">
        <v>25</v>
      </c>
      <c r="I30" s="7" t="s">
        <v>28</v>
      </c>
      <c r="J30" s="7" t="s">
        <v>29</v>
      </c>
      <c r="K30" s="8" t="s">
        <v>93</v>
      </c>
    </row>
    <row r="31" ht="12.75" customHeight="1">
      <c r="A31" s="7" t="s">
        <v>16</v>
      </c>
      <c r="B31" s="7" t="s">
        <v>20</v>
      </c>
      <c r="C31" s="7" t="s">
        <v>22</v>
      </c>
      <c r="D31" s="7" t="s">
        <v>64</v>
      </c>
      <c r="E31" s="7" t="s">
        <v>32</v>
      </c>
      <c r="F31" s="7" t="s">
        <v>48</v>
      </c>
      <c r="G31" s="7" t="s">
        <v>32</v>
      </c>
      <c r="H31" s="7" t="s">
        <v>65</v>
      </c>
      <c r="I31" s="7" t="s">
        <v>28</v>
      </c>
      <c r="J31" s="7" t="s">
        <v>29</v>
      </c>
      <c r="K31" s="8" t="s">
        <v>94</v>
      </c>
    </row>
    <row r="32" ht="12.75" customHeight="1">
      <c r="A32" s="7" t="s">
        <v>16</v>
      </c>
      <c r="B32" s="7" t="s">
        <v>20</v>
      </c>
      <c r="C32" s="7" t="s">
        <v>22</v>
      </c>
      <c r="D32" s="7" t="s">
        <v>35</v>
      </c>
      <c r="E32" s="7" t="s">
        <v>32</v>
      </c>
      <c r="F32" s="7" t="s">
        <v>95</v>
      </c>
      <c r="G32" s="7" t="s">
        <v>32</v>
      </c>
      <c r="H32" s="7" t="s">
        <v>37</v>
      </c>
      <c r="I32" s="7" t="s">
        <v>28</v>
      </c>
      <c r="J32" s="7" t="s">
        <v>29</v>
      </c>
      <c r="K32" s="8" t="s">
        <v>96</v>
      </c>
    </row>
    <row r="33" ht="12.75" customHeight="1">
      <c r="A33" s="7" t="s">
        <v>16</v>
      </c>
      <c r="B33" s="7" t="s">
        <v>20</v>
      </c>
      <c r="C33" s="7" t="s">
        <v>22</v>
      </c>
      <c r="D33" s="7" t="s">
        <v>52</v>
      </c>
      <c r="E33" s="7" t="s">
        <v>32</v>
      </c>
      <c r="F33" s="7" t="s">
        <v>97</v>
      </c>
      <c r="G33" s="7" t="s">
        <v>32</v>
      </c>
      <c r="H33" s="7" t="s">
        <v>54</v>
      </c>
      <c r="I33" s="7" t="s">
        <v>28</v>
      </c>
      <c r="J33" s="7" t="s">
        <v>29</v>
      </c>
      <c r="K33" s="8" t="s">
        <v>98</v>
      </c>
    </row>
    <row r="34" ht="12.75" customHeight="1">
      <c r="A34" s="7" t="s">
        <v>16</v>
      </c>
      <c r="B34" s="7" t="s">
        <v>20</v>
      </c>
      <c r="C34" s="7" t="s">
        <v>22</v>
      </c>
      <c r="D34" s="7" t="s">
        <v>23</v>
      </c>
      <c r="E34" s="7" t="s">
        <v>24</v>
      </c>
      <c r="F34" s="7" t="s">
        <v>99</v>
      </c>
      <c r="G34" s="7" t="s">
        <v>24</v>
      </c>
      <c r="H34" s="7" t="s">
        <v>27</v>
      </c>
      <c r="I34" s="7" t="s">
        <v>28</v>
      </c>
      <c r="J34" s="7" t="s">
        <v>29</v>
      </c>
      <c r="K34" s="8" t="s">
        <v>100</v>
      </c>
    </row>
    <row r="35" ht="12.75" customHeight="1">
      <c r="A35" s="7" t="s">
        <v>16</v>
      </c>
      <c r="B35" s="7" t="s">
        <v>20</v>
      </c>
      <c r="C35" s="7" t="s">
        <v>22</v>
      </c>
      <c r="D35" s="7" t="s">
        <v>44</v>
      </c>
      <c r="E35" s="7" t="s">
        <v>24</v>
      </c>
      <c r="F35" s="7" t="s">
        <v>82</v>
      </c>
      <c r="G35" s="7" t="s">
        <v>24</v>
      </c>
      <c r="H35" s="7" t="s">
        <v>46</v>
      </c>
      <c r="I35" s="7" t="s">
        <v>28</v>
      </c>
      <c r="J35" s="7" t="s">
        <v>29</v>
      </c>
      <c r="K35" s="8" t="s">
        <v>101</v>
      </c>
    </row>
    <row r="36" ht="12.75" customHeight="1">
      <c r="A36" s="7" t="s">
        <v>16</v>
      </c>
      <c r="B36" s="7" t="s">
        <v>20</v>
      </c>
      <c r="C36" s="7" t="s">
        <v>22</v>
      </c>
      <c r="D36" s="7" t="s">
        <v>35</v>
      </c>
      <c r="E36" s="7" t="s">
        <v>32</v>
      </c>
      <c r="F36" s="7" t="s">
        <v>48</v>
      </c>
      <c r="G36" s="7" t="s">
        <v>32</v>
      </c>
      <c r="H36" s="7" t="s">
        <v>37</v>
      </c>
      <c r="I36" s="7" t="s">
        <v>28</v>
      </c>
      <c r="J36" s="7" t="s">
        <v>29</v>
      </c>
      <c r="K36" s="8" t="s">
        <v>102</v>
      </c>
    </row>
    <row r="37" ht="12.75" customHeight="1">
      <c r="A37" s="7" t="s">
        <v>16</v>
      </c>
      <c r="B37" s="7" t="s">
        <v>20</v>
      </c>
      <c r="C37" s="7" t="s">
        <v>22</v>
      </c>
      <c r="D37" s="7" t="s">
        <v>64</v>
      </c>
      <c r="E37" s="7" t="s">
        <v>32</v>
      </c>
      <c r="F37" s="7" t="s">
        <v>56</v>
      </c>
      <c r="G37" s="7" t="s">
        <v>32</v>
      </c>
      <c r="H37" s="7" t="s">
        <v>65</v>
      </c>
      <c r="I37" s="7" t="s">
        <v>28</v>
      </c>
      <c r="J37" s="7" t="s">
        <v>29</v>
      </c>
      <c r="K37" s="8" t="s">
        <v>103</v>
      </c>
    </row>
    <row r="38" ht="12.75" customHeight="1">
      <c r="A38" s="7" t="s">
        <v>16</v>
      </c>
      <c r="B38" s="7" t="s">
        <v>20</v>
      </c>
      <c r="C38" s="7" t="s">
        <v>22</v>
      </c>
      <c r="D38" s="7" t="s">
        <v>23</v>
      </c>
      <c r="E38" s="7" t="s">
        <v>24</v>
      </c>
      <c r="F38" s="7" t="s">
        <v>104</v>
      </c>
      <c r="G38" s="7" t="s">
        <v>24</v>
      </c>
      <c r="H38" s="7" t="s">
        <v>27</v>
      </c>
      <c r="I38" s="7" t="s">
        <v>28</v>
      </c>
      <c r="J38" s="7" t="s">
        <v>29</v>
      </c>
      <c r="K38" s="8" t="s">
        <v>105</v>
      </c>
    </row>
    <row r="39" ht="12.75" customHeight="1">
      <c r="A39" s="7" t="s">
        <v>16</v>
      </c>
      <c r="B39" s="7" t="s">
        <v>20</v>
      </c>
      <c r="C39" s="7" t="s">
        <v>22</v>
      </c>
      <c r="D39" s="7" t="s">
        <v>23</v>
      </c>
      <c r="E39" s="7" t="s">
        <v>24</v>
      </c>
      <c r="F39" s="7" t="s">
        <v>71</v>
      </c>
      <c r="G39" s="7" t="s">
        <v>24</v>
      </c>
      <c r="H39" s="7" t="s">
        <v>27</v>
      </c>
      <c r="I39" s="7" t="s">
        <v>28</v>
      </c>
      <c r="J39" s="7" t="s">
        <v>29</v>
      </c>
      <c r="K39" s="8" t="s">
        <v>106</v>
      </c>
    </row>
    <row r="40" ht="12.75" customHeight="1">
      <c r="A40" s="7" t="s">
        <v>16</v>
      </c>
      <c r="B40" s="7" t="s">
        <v>20</v>
      </c>
      <c r="C40" s="7" t="s">
        <v>22</v>
      </c>
      <c r="D40" s="7" t="s">
        <v>31</v>
      </c>
      <c r="E40" s="7" t="s">
        <v>32</v>
      </c>
      <c r="F40" s="7" t="s">
        <v>95</v>
      </c>
      <c r="G40" s="7" t="s">
        <v>32</v>
      </c>
      <c r="H40" s="7" t="s">
        <v>25</v>
      </c>
      <c r="I40" s="7" t="s">
        <v>28</v>
      </c>
      <c r="J40" s="7" t="s">
        <v>29</v>
      </c>
      <c r="K40" s="8" t="s">
        <v>107</v>
      </c>
    </row>
    <row r="41" ht="12.75" customHeight="1">
      <c r="A41" s="7" t="s">
        <v>16</v>
      </c>
      <c r="B41" s="7" t="s">
        <v>20</v>
      </c>
      <c r="C41" s="7" t="s">
        <v>22</v>
      </c>
      <c r="D41" s="7" t="s">
        <v>64</v>
      </c>
      <c r="E41" s="7" t="s">
        <v>32</v>
      </c>
      <c r="F41" s="7" t="s">
        <v>97</v>
      </c>
      <c r="G41" s="7" t="s">
        <v>32</v>
      </c>
      <c r="H41" s="7" t="s">
        <v>65</v>
      </c>
      <c r="I41" s="7" t="s">
        <v>28</v>
      </c>
      <c r="J41" s="7" t="s">
        <v>29</v>
      </c>
      <c r="K41" s="8" t="s">
        <v>108</v>
      </c>
    </row>
    <row r="42" ht="12.75" customHeight="1">
      <c r="A42" s="7" t="s">
        <v>16</v>
      </c>
      <c r="B42" s="7" t="s">
        <v>20</v>
      </c>
      <c r="C42" s="7" t="s">
        <v>22</v>
      </c>
      <c r="D42" s="7" t="s">
        <v>109</v>
      </c>
      <c r="E42" s="7" t="s">
        <v>110</v>
      </c>
      <c r="F42" s="7" t="s">
        <v>111</v>
      </c>
      <c r="G42" s="7" t="s">
        <v>110</v>
      </c>
      <c r="H42" s="7" t="s">
        <v>112</v>
      </c>
      <c r="I42" s="7" t="s">
        <v>28</v>
      </c>
      <c r="J42" s="7" t="s">
        <v>29</v>
      </c>
      <c r="K42" s="8" t="s">
        <v>113</v>
      </c>
    </row>
    <row r="43" ht="12.75" customHeight="1">
      <c r="A43" s="7" t="s">
        <v>16</v>
      </c>
      <c r="B43" s="7" t="s">
        <v>20</v>
      </c>
      <c r="C43" s="7" t="s">
        <v>22</v>
      </c>
      <c r="D43" s="7" t="s">
        <v>64</v>
      </c>
      <c r="E43" s="7" t="s">
        <v>32</v>
      </c>
      <c r="F43" s="7" t="s">
        <v>53</v>
      </c>
      <c r="G43" s="7" t="s">
        <v>32</v>
      </c>
      <c r="H43" s="7" t="s">
        <v>65</v>
      </c>
      <c r="I43" s="7" t="s">
        <v>28</v>
      </c>
      <c r="J43" s="7" t="s">
        <v>29</v>
      </c>
      <c r="K43" s="8" t="s">
        <v>114</v>
      </c>
    </row>
    <row r="44" ht="12.75" customHeight="1">
      <c r="A44" s="7" t="s">
        <v>16</v>
      </c>
      <c r="B44" s="7" t="s">
        <v>20</v>
      </c>
      <c r="C44" s="7" t="s">
        <v>22</v>
      </c>
      <c r="D44" s="7" t="s">
        <v>31</v>
      </c>
      <c r="E44" s="7" t="s">
        <v>32</v>
      </c>
      <c r="F44" s="7" t="s">
        <v>85</v>
      </c>
      <c r="G44" s="7" t="s">
        <v>32</v>
      </c>
      <c r="H44" s="7" t="s">
        <v>25</v>
      </c>
      <c r="I44" s="7" t="s">
        <v>28</v>
      </c>
      <c r="J44" s="7" t="s">
        <v>29</v>
      </c>
      <c r="K44" s="8" t="s">
        <v>115</v>
      </c>
    </row>
    <row r="45" ht="12.75" customHeight="1">
      <c r="A45" s="7" t="s">
        <v>16</v>
      </c>
      <c r="B45" s="7" t="s">
        <v>20</v>
      </c>
      <c r="C45" s="7" t="s">
        <v>22</v>
      </c>
      <c r="D45" s="7" t="s">
        <v>64</v>
      </c>
      <c r="E45" s="7" t="s">
        <v>32</v>
      </c>
      <c r="F45" s="7" t="s">
        <v>92</v>
      </c>
      <c r="G45" s="7" t="s">
        <v>32</v>
      </c>
      <c r="H45" s="7" t="s">
        <v>65</v>
      </c>
      <c r="I45" s="7" t="s">
        <v>28</v>
      </c>
      <c r="J45" s="7" t="s">
        <v>29</v>
      </c>
      <c r="K45" s="8" t="s">
        <v>103</v>
      </c>
    </row>
    <row r="46" ht="12.75" customHeight="1">
      <c r="A46" s="7" t="s">
        <v>16</v>
      </c>
      <c r="B46" s="7" t="s">
        <v>20</v>
      </c>
      <c r="C46" s="7" t="s">
        <v>22</v>
      </c>
      <c r="D46" s="7" t="s">
        <v>64</v>
      </c>
      <c r="E46" s="7" t="s">
        <v>32</v>
      </c>
      <c r="F46" s="7" t="s">
        <v>116</v>
      </c>
      <c r="G46" s="7" t="s">
        <v>32</v>
      </c>
      <c r="H46" s="7" t="s">
        <v>65</v>
      </c>
      <c r="I46" s="7" t="s">
        <v>28</v>
      </c>
      <c r="J46" s="7" t="s">
        <v>29</v>
      </c>
      <c r="K46" s="8" t="s">
        <v>117</v>
      </c>
    </row>
    <row r="47" ht="12.75" customHeight="1">
      <c r="A47" s="7" t="s">
        <v>16</v>
      </c>
      <c r="B47" s="7" t="s">
        <v>20</v>
      </c>
      <c r="C47" s="7" t="s">
        <v>22</v>
      </c>
      <c r="D47" s="7" t="s">
        <v>31</v>
      </c>
      <c r="E47" s="7" t="s">
        <v>32</v>
      </c>
      <c r="F47" s="7" t="s">
        <v>97</v>
      </c>
      <c r="G47" s="7" t="s">
        <v>32</v>
      </c>
      <c r="H47" s="7" t="s">
        <v>25</v>
      </c>
      <c r="I47" s="7" t="s">
        <v>28</v>
      </c>
      <c r="J47" s="7" t="s">
        <v>29</v>
      </c>
      <c r="K47" s="8" t="s">
        <v>118</v>
      </c>
    </row>
    <row r="48" ht="12.75" customHeight="1">
      <c r="A48" s="7" t="s">
        <v>16</v>
      </c>
      <c r="B48" s="7" t="s">
        <v>20</v>
      </c>
      <c r="C48" s="7" t="s">
        <v>22</v>
      </c>
      <c r="D48" s="7" t="s">
        <v>23</v>
      </c>
      <c r="E48" s="7" t="s">
        <v>24</v>
      </c>
      <c r="F48" s="7" t="s">
        <v>62</v>
      </c>
      <c r="G48" s="7" t="s">
        <v>24</v>
      </c>
      <c r="H48" s="7" t="s">
        <v>27</v>
      </c>
      <c r="I48" s="7" t="s">
        <v>28</v>
      </c>
      <c r="J48" s="7" t="s">
        <v>29</v>
      </c>
      <c r="K48" s="8" t="s">
        <v>119</v>
      </c>
    </row>
    <row r="49" ht="12.75" customHeight="1">
      <c r="A49" s="7" t="s">
        <v>16</v>
      </c>
      <c r="B49" s="7" t="s">
        <v>20</v>
      </c>
      <c r="C49" s="7" t="s">
        <v>22</v>
      </c>
      <c r="D49" s="7" t="s">
        <v>31</v>
      </c>
      <c r="E49" s="7" t="s">
        <v>32</v>
      </c>
      <c r="F49" s="7" t="s">
        <v>116</v>
      </c>
      <c r="G49" s="7" t="s">
        <v>32</v>
      </c>
      <c r="H49" s="7" t="s">
        <v>25</v>
      </c>
      <c r="I49" s="7" t="s">
        <v>28</v>
      </c>
      <c r="J49" s="7" t="s">
        <v>29</v>
      </c>
      <c r="K49" s="8" t="s">
        <v>120</v>
      </c>
    </row>
    <row r="50" ht="12.75" customHeight="1">
      <c r="A50" s="7" t="s">
        <v>16</v>
      </c>
      <c r="B50" s="7" t="s">
        <v>20</v>
      </c>
      <c r="C50" s="7" t="s">
        <v>22</v>
      </c>
      <c r="D50" s="7" t="s">
        <v>64</v>
      </c>
      <c r="E50" s="7" t="s">
        <v>32</v>
      </c>
      <c r="F50" s="7" t="s">
        <v>33</v>
      </c>
      <c r="G50" s="7" t="s">
        <v>32</v>
      </c>
      <c r="H50" s="7" t="s">
        <v>65</v>
      </c>
      <c r="I50" s="7" t="s">
        <v>28</v>
      </c>
      <c r="J50" s="7" t="s">
        <v>29</v>
      </c>
      <c r="K50" s="8" t="s">
        <v>120</v>
      </c>
    </row>
    <row r="51" ht="12.75" customHeight="1">
      <c r="A51" s="7" t="s">
        <v>16</v>
      </c>
      <c r="B51" s="7" t="s">
        <v>20</v>
      </c>
      <c r="C51" s="7" t="s">
        <v>22</v>
      </c>
      <c r="D51" s="7" t="s">
        <v>64</v>
      </c>
      <c r="E51" s="7" t="s">
        <v>32</v>
      </c>
      <c r="F51" s="7" t="s">
        <v>95</v>
      </c>
      <c r="G51" s="7" t="s">
        <v>32</v>
      </c>
      <c r="H51" s="7" t="s">
        <v>65</v>
      </c>
      <c r="I51" s="7" t="s">
        <v>28</v>
      </c>
      <c r="J51" s="7" t="s">
        <v>29</v>
      </c>
      <c r="K51" s="8" t="s">
        <v>94</v>
      </c>
    </row>
    <row r="52" ht="12.75" customHeight="1">
      <c r="A52" s="7" t="s">
        <v>16</v>
      </c>
      <c r="B52" s="7" t="s">
        <v>20</v>
      </c>
      <c r="C52" s="7" t="s">
        <v>22</v>
      </c>
      <c r="D52" s="7" t="s">
        <v>23</v>
      </c>
      <c r="E52" s="7" t="s">
        <v>24</v>
      </c>
      <c r="F52" s="7" t="s">
        <v>121</v>
      </c>
      <c r="G52" s="7" t="s">
        <v>24</v>
      </c>
      <c r="H52" s="7" t="s">
        <v>27</v>
      </c>
      <c r="I52" s="7" t="s">
        <v>28</v>
      </c>
      <c r="J52" s="7" t="s">
        <v>29</v>
      </c>
      <c r="K52" s="8" t="s">
        <v>122</v>
      </c>
    </row>
    <row r="53" ht="12.75" customHeight="1">
      <c r="A53" s="7" t="s">
        <v>123</v>
      </c>
      <c r="B53" s="7" t="s">
        <v>41</v>
      </c>
      <c r="C53" s="7" t="s">
        <v>124</v>
      </c>
      <c r="D53" s="7" t="s">
        <v>125</v>
      </c>
      <c r="E53" s="7" t="s">
        <v>29</v>
      </c>
      <c r="F53" s="7" t="s">
        <v>29</v>
      </c>
      <c r="G53" s="7" t="s">
        <v>126</v>
      </c>
      <c r="H53" s="7" t="s">
        <v>127</v>
      </c>
      <c r="I53" s="7" t="s">
        <v>28</v>
      </c>
      <c r="J53" s="7" t="s">
        <v>29</v>
      </c>
      <c r="K53" s="8" t="s">
        <v>128</v>
      </c>
    </row>
    <row r="54" ht="12.75" customHeight="1">
      <c r="A54" s="7" t="s">
        <v>123</v>
      </c>
      <c r="B54" s="7" t="s">
        <v>41</v>
      </c>
      <c r="C54" s="7" t="s">
        <v>124</v>
      </c>
      <c r="D54" s="7" t="s">
        <v>129</v>
      </c>
      <c r="E54" s="7" t="s">
        <v>29</v>
      </c>
      <c r="F54" s="7" t="s">
        <v>29</v>
      </c>
      <c r="G54" s="7" t="s">
        <v>126</v>
      </c>
      <c r="H54" s="7" t="s">
        <v>130</v>
      </c>
      <c r="I54" s="7" t="s">
        <v>28</v>
      </c>
      <c r="J54" s="7" t="s">
        <v>29</v>
      </c>
      <c r="K54" s="8" t="s">
        <v>131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